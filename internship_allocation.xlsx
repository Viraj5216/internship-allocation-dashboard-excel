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nts_Raw" sheetId="1" r:id="rId5"/>
    <sheet state="visible" name="Dept_Lookup" sheetId="2" r:id="rId6"/>
    <sheet state="visible" name="Interview_Slots" sheetId="3" r:id="rId7"/>
    <sheet state="visible" name="Scoring_Weights" sheetId="4" r:id="rId8"/>
    <sheet state="visible" name="Dashboard" sheetId="5" r:id="rId9"/>
  </sheets>
  <definedNames>
    <definedName hidden="1" localSheetId="0" name="_xlnm._FilterDatabase">Applicants_Raw!$A$1:$AD$1000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<sst xmlns="http://schemas.openxmlformats.org/spreadsheetml/2006/main" count="2468" uniqueCount="982">
  <si>
    <t>Student_ID</t>
  </si>
  <si>
    <t>Name</t>
  </si>
  <si>
    <t>Department</t>
  </si>
  <si>
    <t>Student_Department</t>
  </si>
  <si>
    <t>Application_Date</t>
  </si>
  <si>
    <t>Standarad_Date</t>
  </si>
  <si>
    <t>Test_1_Score</t>
  </si>
  <si>
    <t>Test_2_Score</t>
  </si>
  <si>
    <t>Test_3_Score</t>
  </si>
  <si>
    <t>Weighted_Score</t>
  </si>
  <si>
    <t>Attendance_%</t>
  </si>
  <si>
    <t>Assignment_Completion_%</t>
  </si>
  <si>
    <t>Standard_Assignment_Completion_%</t>
  </si>
  <si>
    <t>Internship_Pref</t>
  </si>
  <si>
    <t>Required_Score</t>
  </si>
  <si>
    <t>Required_Attendance</t>
  </si>
  <si>
    <t>Eligibility</t>
  </si>
  <si>
    <t>Allocation_Status</t>
  </si>
  <si>
    <t>S324</t>
  </si>
  <si>
    <t>Imran Khan</t>
  </si>
  <si>
    <t>Electro</t>
  </si>
  <si>
    <t>Company A</t>
  </si>
  <si>
    <t>yes</t>
  </si>
  <si>
    <t>S053</t>
  </si>
  <si>
    <t>Sunita Singh</t>
  </si>
  <si>
    <t>Computer Science</t>
  </si>
  <si>
    <t>S005</t>
  </si>
  <si>
    <t>Anika Mukherjee</t>
  </si>
  <si>
    <t>ECE</t>
  </si>
  <si>
    <t>S110</t>
  </si>
  <si>
    <t>Priti Sharma</t>
  </si>
  <si>
    <t>S233</t>
  </si>
  <si>
    <t>Nisha Kapoor</t>
  </si>
  <si>
    <t>S307</t>
  </si>
  <si>
    <t>Tushar Kapoor</t>
  </si>
  <si>
    <t>Electronics</t>
  </si>
  <si>
    <t>S323</t>
  </si>
  <si>
    <t>Priyanka Verma</t>
  </si>
  <si>
    <t>Mechanical Engg</t>
  </si>
  <si>
    <t>S045</t>
  </si>
  <si>
    <t>Ritu Mehta</t>
  </si>
  <si>
    <t>Mech</t>
  </si>
  <si>
    <t>S427</t>
  </si>
  <si>
    <t>Farah Khan</t>
  </si>
  <si>
    <t>CSE</t>
  </si>
  <si>
    <t>S056</t>
  </si>
  <si>
    <t>Bhavna Das</t>
  </si>
  <si>
    <t>CIV</t>
  </si>
  <si>
    <t>S243</t>
  </si>
  <si>
    <t>Ishwari Rao</t>
  </si>
  <si>
    <t>ELEC</t>
  </si>
  <si>
    <t>S300</t>
  </si>
  <si>
    <t>Sandeep Nair</t>
  </si>
  <si>
    <t>S387</t>
  </si>
  <si>
    <t>Gitanjali Bhatia</t>
  </si>
  <si>
    <t>S067</t>
  </si>
  <si>
    <t>Arvind Sharma</t>
  </si>
  <si>
    <t>CS</t>
  </si>
  <si>
    <t>S024</t>
  </si>
  <si>
    <t>Vihaan Singh</t>
  </si>
  <si>
    <t>S343</t>
  </si>
  <si>
    <t>Niranjan Gupta</t>
  </si>
  <si>
    <t>S036</t>
  </si>
  <si>
    <t>Aisha Khan</t>
  </si>
  <si>
    <t>S288</t>
  </si>
  <si>
    <t>Pooja Singh</t>
  </si>
  <si>
    <t>S022</t>
  </si>
  <si>
    <t>Devendra Patel</t>
  </si>
  <si>
    <t>S416</t>
  </si>
  <si>
    <t>Nitin Bhatia</t>
  </si>
  <si>
    <t>S411</t>
  </si>
  <si>
    <t>Lokesh Reddy</t>
  </si>
  <si>
    <t>ME</t>
  </si>
  <si>
    <t>S318</t>
  </si>
  <si>
    <t>Yuvraj Choudhury</t>
  </si>
  <si>
    <t>S172</t>
  </si>
  <si>
    <t>Nilesh Mehta</t>
  </si>
  <si>
    <t>S152</t>
  </si>
  <si>
    <t>Seema Gupta</t>
  </si>
  <si>
    <t>S059</t>
  </si>
  <si>
    <t>Rameshwar Das</t>
  </si>
  <si>
    <t>S125</t>
  </si>
  <si>
    <t>Lalit Verma</t>
  </si>
  <si>
    <t>Civil Engg</t>
  </si>
  <si>
    <t>S137</t>
  </si>
  <si>
    <t>Vaidehi Nair</t>
  </si>
  <si>
    <t>S354</t>
  </si>
  <si>
    <t>Keshav Kapoor</t>
  </si>
  <si>
    <t>S227</t>
  </si>
  <si>
    <t>Asha Malhotra</t>
  </si>
  <si>
    <t>S120</t>
  </si>
  <si>
    <t>Ajith Iyer</t>
  </si>
  <si>
    <t>29/08/25</t>
  </si>
  <si>
    <t>S105</t>
  </si>
  <si>
    <t>Monika Gupta</t>
  </si>
  <si>
    <t>S133</t>
  </si>
  <si>
    <t>Varun Shetty</t>
  </si>
  <si>
    <t>S009</t>
  </si>
  <si>
    <t>S375</t>
  </si>
  <si>
    <t>Kavitha Nair</t>
  </si>
  <si>
    <t>S066</t>
  </si>
  <si>
    <t>Tejas Malhotra</t>
  </si>
  <si>
    <t>Comp Sci</t>
  </si>
  <si>
    <t>S079</t>
  </si>
  <si>
    <t>Deepak Verma</t>
  </si>
  <si>
    <t>CE</t>
  </si>
  <si>
    <t>S333</t>
  </si>
  <si>
    <t>Kiran Joshi</t>
  </si>
  <si>
    <t>Civil</t>
  </si>
  <si>
    <t>S026</t>
  </si>
  <si>
    <t>Pranav Kulkarni</t>
  </si>
  <si>
    <t>S040</t>
  </si>
  <si>
    <t>Kavya Iyer</t>
  </si>
  <si>
    <t>S221</t>
  </si>
  <si>
    <t>Abhay Gupta</t>
  </si>
  <si>
    <t>S382</t>
  </si>
  <si>
    <t>Harini Reddy</t>
  </si>
  <si>
    <t>S058</t>
  </si>
  <si>
    <t>Anjana Nair</t>
  </si>
  <si>
    <t>S421</t>
  </si>
  <si>
    <t>Manohar Kapoor</t>
  </si>
  <si>
    <t>S083</t>
  </si>
  <si>
    <t>Archana Shetty</t>
  </si>
  <si>
    <t>S102</t>
  </si>
  <si>
    <t>Malini Rao</t>
  </si>
  <si>
    <t>S364</t>
  </si>
  <si>
    <t>Namrata Malhotra</t>
  </si>
  <si>
    <t>S440</t>
  </si>
  <si>
    <t>Shyam Sharma</t>
  </si>
  <si>
    <t>S338</t>
  </si>
  <si>
    <t>Ajinkya Patel</t>
  </si>
  <si>
    <t>S393</t>
  </si>
  <si>
    <t>Sumathi Rao</t>
  </si>
  <si>
    <t>S027</t>
  </si>
  <si>
    <t>Karan Singh</t>
  </si>
  <si>
    <t>S337</t>
  </si>
  <si>
    <t>Pranesh Rao</t>
  </si>
  <si>
    <t>S220</t>
  </si>
  <si>
    <t>Om Nair</t>
  </si>
  <si>
    <t>S439</t>
  </si>
  <si>
    <t>Prakash Das</t>
  </si>
  <si>
    <t>S057</t>
  </si>
  <si>
    <t>Ishita Bhatia</t>
  </si>
  <si>
    <t>S276</t>
  </si>
  <si>
    <t>Tanushree Kulkarni</t>
  </si>
  <si>
    <t>S308</t>
  </si>
  <si>
    <t>Kunal Bhatia</t>
  </si>
  <si>
    <t>S191</t>
  </si>
  <si>
    <t>Saurabh Malhotra</t>
  </si>
  <si>
    <t>S131</t>
  </si>
  <si>
    <t>Manoj Rao</t>
  </si>
  <si>
    <t>S084</t>
  </si>
  <si>
    <t>Aarohi Jain</t>
  </si>
  <si>
    <t>S406</t>
  </si>
  <si>
    <t>Amrita Malhotra</t>
  </si>
  <si>
    <t>S414</t>
  </si>
  <si>
    <t>Ayaan Sharma</t>
  </si>
  <si>
    <t>S407</t>
  </si>
  <si>
    <t>Rajat Sharma</t>
  </si>
  <si>
    <t>S452</t>
  </si>
  <si>
    <t>Sana Khan</t>
  </si>
  <si>
    <t>Mechanical</t>
  </si>
  <si>
    <t>no</t>
  </si>
  <si>
    <t>S289</t>
  </si>
  <si>
    <t>Anusha Verma</t>
  </si>
  <si>
    <t>S432</t>
  </si>
  <si>
    <t>Harshad Choudhury</t>
  </si>
  <si>
    <t>S232</t>
  </si>
  <si>
    <t>Savita Nair</t>
  </si>
  <si>
    <t>S119</t>
  </si>
  <si>
    <t>Siddhant Reddy</t>
  </si>
  <si>
    <t>S085</t>
  </si>
  <si>
    <t>Amisha Patel</t>
  </si>
  <si>
    <t>S434</t>
  </si>
  <si>
    <t>Humaira Khan</t>
  </si>
  <si>
    <t>S360</t>
  </si>
  <si>
    <t>Geeta Singh</t>
  </si>
  <si>
    <t>S145</t>
  </si>
  <si>
    <t>Nirmala Singh</t>
  </si>
  <si>
    <t>S118</t>
  </si>
  <si>
    <t>Mohit Mehta</t>
  </si>
  <si>
    <t>S077</t>
  </si>
  <si>
    <t>Amit Choudhury</t>
  </si>
  <si>
    <t>S424</t>
  </si>
  <si>
    <t>Hemant Sharma</t>
  </si>
  <si>
    <t>S094</t>
  </si>
  <si>
    <t>Vandana Nair</t>
  </si>
  <si>
    <t>S396</t>
  </si>
  <si>
    <t>Meher Gupta</t>
  </si>
  <si>
    <t>S097</t>
  </si>
  <si>
    <t>Rohan Rao</t>
  </si>
  <si>
    <t>S150</t>
  </si>
  <si>
    <t>Satyendra Malhotra</t>
  </si>
  <si>
    <t>S092</t>
  </si>
  <si>
    <t>Swati Kapoor</t>
  </si>
  <si>
    <t>S425</t>
  </si>
  <si>
    <t>Varadarajan Reddy</t>
  </si>
  <si>
    <t>S193</t>
  </si>
  <si>
    <t>Umesh Menon</t>
  </si>
  <si>
    <t>S325</t>
  </si>
  <si>
    <t>Dhananjay Sharma</t>
  </si>
  <si>
    <t>S098</t>
  </si>
  <si>
    <t>Kusum Choudhury</t>
  </si>
  <si>
    <t>S217</t>
  </si>
  <si>
    <t>Aruna Das</t>
  </si>
  <si>
    <t>S454</t>
  </si>
  <si>
    <t>Nandita Mehta</t>
  </si>
  <si>
    <t>S050</t>
  </si>
  <si>
    <t>Neha Menon</t>
  </si>
  <si>
    <t>S187</t>
  </si>
  <si>
    <t>Jaspreet Kaur</t>
  </si>
  <si>
    <t>S207</t>
  </si>
  <si>
    <t>Eshan Patel</t>
  </si>
  <si>
    <t>S404</t>
  </si>
  <si>
    <t>Tasneem Banu</t>
  </si>
  <si>
    <t>S198</t>
  </si>
  <si>
    <t>Satyam Bhatia</t>
  </si>
  <si>
    <t>S129</t>
  </si>
  <si>
    <t>Nitin Das</t>
  </si>
  <si>
    <t>S238</t>
  </si>
  <si>
    <t>Rupa Shetty</t>
  </si>
  <si>
    <t>S147</t>
  </si>
  <si>
    <t>Shalini Bhatia</t>
  </si>
  <si>
    <t>S420</t>
  </si>
  <si>
    <t>Anirudh Rao</t>
  </si>
  <si>
    <t>S214</t>
  </si>
  <si>
    <t>Inderjit Sharma</t>
  </si>
  <si>
    <t>S080</t>
  </si>
  <si>
    <t>Kunal Das</t>
  </si>
  <si>
    <t>S395</t>
  </si>
  <si>
    <t>Khushboo Choudhury</t>
  </si>
  <si>
    <t>S350</t>
  </si>
  <si>
    <t>Adarsh Mehta</t>
  </si>
  <si>
    <t>S426</t>
  </si>
  <si>
    <t>Srinivasan Iyer</t>
  </si>
  <si>
    <t>S355</t>
  </si>
  <si>
    <t>Amarjeet Singh</t>
  </si>
  <si>
    <t>S283</t>
  </si>
  <si>
    <t>Sonia Mehta</t>
  </si>
  <si>
    <t>S330</t>
  </si>
  <si>
    <t>Deepthi Reddy</t>
  </si>
  <si>
    <t>S156</t>
  </si>
  <si>
    <t>Madhavi Choudhury</t>
  </si>
  <si>
    <t>S274</t>
  </si>
  <si>
    <t>Nalini Malhotra</t>
  </si>
  <si>
    <t>S385</t>
  </si>
  <si>
    <t>Ishika Iyer</t>
  </si>
  <si>
    <t>S089</t>
  </si>
  <si>
    <t>Pallavi Reddy</t>
  </si>
  <si>
    <t>S039</t>
  </si>
  <si>
    <t>Lakshmi Nair</t>
  </si>
  <si>
    <t>S106</t>
  </si>
  <si>
    <t>Trisha Nair</t>
  </si>
  <si>
    <t>S189</t>
  </si>
  <si>
    <t>Karthik Shetty</t>
  </si>
  <si>
    <t>S173</t>
  </si>
  <si>
    <t>Harish Nair</t>
  </si>
  <si>
    <t>S262</t>
  </si>
  <si>
    <t>S115</t>
  </si>
  <si>
    <t>Veer Joshi</t>
  </si>
  <si>
    <t>S363</t>
  </si>
  <si>
    <t>Veena Joshi</t>
  </si>
  <si>
    <t>S166</t>
  </si>
  <si>
    <t>Arya Mehta</t>
  </si>
  <si>
    <t>S321</t>
  </si>
  <si>
    <t>Anmol Gupta</t>
  </si>
  <si>
    <t>S197</t>
  </si>
  <si>
    <t>Devika Verma</t>
  </si>
  <si>
    <t>S155</t>
  </si>
  <si>
    <t>Chhaya Bhatia</t>
  </si>
  <si>
    <t>S138</t>
  </si>
  <si>
    <t>Omprakash Nair</t>
  </si>
  <si>
    <t>Company B</t>
  </si>
  <si>
    <t>S372</t>
  </si>
  <si>
    <t>Jaya Das</t>
  </si>
  <si>
    <t>S161</t>
  </si>
  <si>
    <t>S164</t>
  </si>
  <si>
    <t>Lokesh Joshi</t>
  </si>
  <si>
    <t>S018</t>
  </si>
  <si>
    <t>Sahil Bhatia</t>
  </si>
  <si>
    <t>S091</t>
  </si>
  <si>
    <t>Snehal Menon</t>
  </si>
  <si>
    <t>S353</t>
  </si>
  <si>
    <t>Balram Iyer</t>
  </si>
  <si>
    <t>S101</t>
  </si>
  <si>
    <t>Sarita Das</t>
  </si>
  <si>
    <t>S168</t>
  </si>
  <si>
    <t>S031</t>
  </si>
  <si>
    <t>Naveen Menon</t>
  </si>
  <si>
    <t>S273</t>
  </si>
  <si>
    <t>S336</t>
  </si>
  <si>
    <t>Subhash Kulkarni</t>
  </si>
  <si>
    <t>S171</t>
  </si>
  <si>
    <t>Madhavi Sharma</t>
  </si>
  <si>
    <t>S412</t>
  </si>
  <si>
    <t>Karthikeyan Iyer</t>
  </si>
  <si>
    <t>S128</t>
  </si>
  <si>
    <t>Dheeraj Kulkarni</t>
  </si>
  <si>
    <t>S263</t>
  </si>
  <si>
    <t>S076</t>
  </si>
  <si>
    <t>Kavitha Joshi</t>
  </si>
  <si>
    <t>S029</t>
  </si>
  <si>
    <t>Aditya Choudhury</t>
  </si>
  <si>
    <t>S366</t>
  </si>
  <si>
    <t>Ramesh Kapoor</t>
  </si>
  <si>
    <t>S177</t>
  </si>
  <si>
    <t>Sanjay Kapoor</t>
  </si>
  <si>
    <t>S314</t>
  </si>
  <si>
    <t>Rukmini Kapoor</t>
  </si>
  <si>
    <t>S180</t>
  </si>
  <si>
    <t>Monica Gupta</t>
  </si>
  <si>
    <t>S462</t>
  </si>
  <si>
    <t>S158</t>
  </si>
  <si>
    <t>Charan Iyer</t>
  </si>
  <si>
    <t>S210</t>
  </si>
  <si>
    <t>Saira Banu</t>
  </si>
  <si>
    <t>S178</t>
  </si>
  <si>
    <t>Chetan Kapoor</t>
  </si>
  <si>
    <t>S398</t>
  </si>
  <si>
    <t>Shreya Sharma</t>
  </si>
  <si>
    <t>S344</t>
  </si>
  <si>
    <t>S287</t>
  </si>
  <si>
    <t>Lavanya Iyer</t>
  </si>
  <si>
    <t>S433</t>
  </si>
  <si>
    <t>Alisha Sharma</t>
  </si>
  <si>
    <t>S183</t>
  </si>
  <si>
    <t>Aarav Sharma</t>
  </si>
  <si>
    <t>S167</t>
  </si>
  <si>
    <t>Kartik Nair</t>
  </si>
  <si>
    <t>S188</t>
  </si>
  <si>
    <t>Kaviraj Iyer</t>
  </si>
  <si>
    <t>S054</t>
  </si>
  <si>
    <t>Piyush Verma</t>
  </si>
  <si>
    <t>S025</t>
  </si>
  <si>
    <t>Harsh Malhotra</t>
  </si>
  <si>
    <t>S192</t>
  </si>
  <si>
    <t>S086</t>
  </si>
  <si>
    <t>Dinesh Kulkarni</t>
  </si>
  <si>
    <t>S144</t>
  </si>
  <si>
    <t>S044</t>
  </si>
  <si>
    <t>Indira Iyer</t>
  </si>
  <si>
    <t>S194</t>
  </si>
  <si>
    <t>Vidya Gupta</t>
  </si>
  <si>
    <t>S279</t>
  </si>
  <si>
    <t>Swarnima Patel</t>
  </si>
  <si>
    <t>S100</t>
  </si>
  <si>
    <t>Roshni Joshi</t>
  </si>
  <si>
    <t>S251</t>
  </si>
  <si>
    <t>Vivek Reddy</t>
  </si>
  <si>
    <t>S052</t>
  </si>
  <si>
    <t>Nandini Shetty</t>
  </si>
  <si>
    <t>S141</t>
  </si>
  <si>
    <t>Jaya Rao</t>
  </si>
  <si>
    <t>S175</t>
  </si>
  <si>
    <t>Ritu Malhotra</t>
  </si>
  <si>
    <t>S179</t>
  </si>
  <si>
    <t>Devesh Verma</t>
  </si>
  <si>
    <t>S280</t>
  </si>
  <si>
    <t>Parveen Das</t>
  </si>
  <si>
    <t>S235</t>
  </si>
  <si>
    <t>Pallavi Singh</t>
  </si>
  <si>
    <t>S383</t>
  </si>
  <si>
    <t>Sanchita Choudhury</t>
  </si>
  <si>
    <t>S016</t>
  </si>
  <si>
    <t>Rohan Mehta</t>
  </si>
  <si>
    <t>S204</t>
  </si>
  <si>
    <t>Soumya Reddy</t>
  </si>
  <si>
    <t>S074</t>
  </si>
  <si>
    <t>Ajay Menon</t>
  </si>
  <si>
    <t>S367</t>
  </si>
  <si>
    <t>Radha Kulkarni</t>
  </si>
  <si>
    <t>S457</t>
  </si>
  <si>
    <t>Aditi Shetty</t>
  </si>
  <si>
    <t>S206</t>
  </si>
  <si>
    <t>Shankar Sharma</t>
  </si>
  <si>
    <t>S224</t>
  </si>
  <si>
    <t>Surinder Singh</t>
  </si>
  <si>
    <t>S208</t>
  </si>
  <si>
    <t>Reema Nair</t>
  </si>
  <si>
    <t>S209</t>
  </si>
  <si>
    <t>S143</t>
  </si>
  <si>
    <t>Padmini Das</t>
  </si>
  <si>
    <t>S061</t>
  </si>
  <si>
    <t>Usha Joshi</t>
  </si>
  <si>
    <t>S211</t>
  </si>
  <si>
    <t>Sonali Kapoor</t>
  </si>
  <si>
    <t>S290</t>
  </si>
  <si>
    <t>Sita Das</t>
  </si>
  <si>
    <t>S212</t>
  </si>
  <si>
    <t>Aryan Mehta</t>
  </si>
  <si>
    <t>S371</t>
  </si>
  <si>
    <t>Priyadarshini Patel</t>
  </si>
  <si>
    <t>S302</t>
  </si>
  <si>
    <t>Yash Verma</t>
  </si>
  <si>
    <t>S296</t>
  </si>
  <si>
    <t>Vijay Sharma</t>
  </si>
  <si>
    <t>S136</t>
  </si>
  <si>
    <t>Raghav Gupta</t>
  </si>
  <si>
    <t>S216</t>
  </si>
  <si>
    <t>S218</t>
  </si>
  <si>
    <t>Sharmila Mehta</t>
  </si>
  <si>
    <t>S219</t>
  </si>
  <si>
    <t>Irfan Khan</t>
  </si>
  <si>
    <t>S310</t>
  </si>
  <si>
    <t>Deepesh Malhotra</t>
  </si>
  <si>
    <t>S328</t>
  </si>
  <si>
    <t>Vishwanath Iyer</t>
  </si>
  <si>
    <t>S368</t>
  </si>
  <si>
    <t>Sudha Rao</t>
  </si>
  <si>
    <t>S042</t>
  </si>
  <si>
    <t>Pradyumn Nair</t>
  </si>
  <si>
    <t>S223</t>
  </si>
  <si>
    <t>Jatin Kulkarni</t>
  </si>
  <si>
    <t>S004</t>
  </si>
  <si>
    <t>sai agarwal</t>
  </si>
  <si>
    <t>S099</t>
  </si>
  <si>
    <t>Shailesh Menon</t>
  </si>
  <si>
    <t>S123</t>
  </si>
  <si>
    <t>Govind Singh</t>
  </si>
  <si>
    <t>S291</t>
  </si>
  <si>
    <t>Devendra Joshi</t>
  </si>
  <si>
    <t>S229</t>
  </si>
  <si>
    <t>Mitesh Das</t>
  </si>
  <si>
    <t>S400</t>
  </si>
  <si>
    <t>Aaliya Khan</t>
  </si>
  <si>
    <t>S017</t>
  </si>
  <si>
    <t>Sneha Mehta</t>
  </si>
  <si>
    <t>S309</t>
  </si>
  <si>
    <t>Mohanlal Das</t>
  </si>
  <si>
    <t>S331</t>
  </si>
  <si>
    <t>Vandana Verma</t>
  </si>
  <si>
    <t>S444</t>
  </si>
  <si>
    <t>Kareem Khan</t>
  </si>
  <si>
    <t>S305</t>
  </si>
  <si>
    <t>Javed Malik</t>
  </si>
  <si>
    <t>S122</t>
  </si>
  <si>
    <t>Rajiv Nair</t>
  </si>
  <si>
    <t>S402</t>
  </si>
  <si>
    <t>Anushree Mehta</t>
  </si>
  <si>
    <t>S362</t>
  </si>
  <si>
    <t>Meera Verma</t>
  </si>
  <si>
    <t>S082</t>
  </si>
  <si>
    <t>Pritam Rao</t>
  </si>
  <si>
    <t>S015</t>
  </si>
  <si>
    <t>Pankaj Singh</t>
  </si>
  <si>
    <t>S236</t>
  </si>
  <si>
    <t>Anushka Shetty</t>
  </si>
  <si>
    <t>S241</t>
  </si>
  <si>
    <t>Praveen Mehta</t>
  </si>
  <si>
    <t>S184</t>
  </si>
  <si>
    <t>Anupam Bhatia</t>
  </si>
  <si>
    <t>S231</t>
  </si>
  <si>
    <t>Meenakshi Iyer</t>
  </si>
  <si>
    <t>S160</t>
  </si>
  <si>
    <t>Rajeev Shetty</t>
  </si>
  <si>
    <t>S245</t>
  </si>
  <si>
    <t>Kabir Iyer</t>
  </si>
  <si>
    <t>S341</t>
  </si>
  <si>
    <t>Rubina Khan</t>
  </si>
  <si>
    <t>S030</t>
  </si>
  <si>
    <t>S453</t>
  </si>
  <si>
    <t>Anika Choudhury</t>
  </si>
  <si>
    <t>S203</t>
  </si>
  <si>
    <t>Raghunath Singh</t>
  </si>
  <si>
    <t>S117</t>
  </si>
  <si>
    <t>Arun Sharma</t>
  </si>
  <si>
    <t>S038</t>
  </si>
  <si>
    <t>Ananya Reddy</t>
  </si>
  <si>
    <t>S135</t>
  </si>
  <si>
    <t>Parth Menon</t>
  </si>
  <si>
    <t>S186</t>
  </si>
  <si>
    <t>S011</t>
  </si>
  <si>
    <t>Ananya Singh</t>
  </si>
  <si>
    <t>S301</t>
  </si>
  <si>
    <t>Sushila Joshi</t>
  </si>
  <si>
    <t>S378</t>
  </si>
  <si>
    <t>Zoya Mehta</t>
  </si>
  <si>
    <t>S388</t>
  </si>
  <si>
    <t>Vignesh Rao</t>
  </si>
  <si>
    <t>S200</t>
  </si>
  <si>
    <t>Virendra Singh</t>
  </si>
  <si>
    <t>S327</t>
  </si>
  <si>
    <t>Santosh Reddy</t>
  </si>
  <si>
    <t>S002</t>
  </si>
  <si>
    <t>Myra Chatterjee</t>
  </si>
  <si>
    <t>S104</t>
  </si>
  <si>
    <t>Sangeeta Kulkarni</t>
  </si>
  <si>
    <t>S073</t>
  </si>
  <si>
    <t>Nikhil Reddy</t>
  </si>
  <si>
    <t>S237</t>
  </si>
  <si>
    <t>Ishaan Joshi</t>
  </si>
  <si>
    <t>S379</t>
  </si>
  <si>
    <t>Purnima Verma</t>
  </si>
  <si>
    <t>S068</t>
  </si>
  <si>
    <t>Aafreen Khan</t>
  </si>
  <si>
    <t>S329</t>
  </si>
  <si>
    <t>Arya Kapoor</t>
  </si>
  <si>
    <t>S055</t>
  </si>
  <si>
    <t>Chitra Kulkarni</t>
  </si>
  <si>
    <t>S392</t>
  </si>
  <si>
    <t>Madhavi Joshi</t>
  </si>
  <si>
    <t>S380</t>
  </si>
  <si>
    <t>Kusum Gupta</t>
  </si>
  <si>
    <t>S315</t>
  </si>
  <si>
    <t>Karishma Mehta</t>
  </si>
  <si>
    <t>S081</t>
  </si>
  <si>
    <t>Aarohi Reddy</t>
  </si>
  <si>
    <t>S401</t>
  </si>
  <si>
    <t>Ajmal Khan</t>
  </si>
  <si>
    <t>S154</t>
  </si>
  <si>
    <t>Revathi Rao</t>
  </si>
  <si>
    <t>S340</t>
  </si>
  <si>
    <t>Rohit Choudhury</t>
  </si>
  <si>
    <t>S284</t>
  </si>
  <si>
    <t>Kalyani Iyer</t>
  </si>
  <si>
    <t>S349</t>
  </si>
  <si>
    <t>Jignesh Mehta</t>
  </si>
  <si>
    <t>S043</t>
  </si>
  <si>
    <t>Devraj Kulkarni</t>
  </si>
  <si>
    <t>S445</t>
  </si>
  <si>
    <t>Chaitali Verma</t>
  </si>
  <si>
    <t>S093</t>
  </si>
  <si>
    <t>Amar Joshi</t>
  </si>
  <si>
    <t>S246</t>
  </si>
  <si>
    <t>Shweta Verma</t>
  </si>
  <si>
    <t>S247</t>
  </si>
  <si>
    <t>Simran Malhotra</t>
  </si>
  <si>
    <t>S248</t>
  </si>
  <si>
    <t>Neelam Sharma</t>
  </si>
  <si>
    <t>S249</t>
  </si>
  <si>
    <t>Vinod Malhotra</t>
  </si>
  <si>
    <t>S250</t>
  </si>
  <si>
    <t>Mohan Iyer</t>
  </si>
  <si>
    <t>S252</t>
  </si>
  <si>
    <t>S255</t>
  </si>
  <si>
    <t>Krishna Sharma</t>
  </si>
  <si>
    <t>S256</t>
  </si>
  <si>
    <t>Pratap Kapoor</t>
  </si>
  <si>
    <t>S257</t>
  </si>
  <si>
    <t>S258</t>
  </si>
  <si>
    <t>Chirag Patel</t>
  </si>
  <si>
    <t>S259</t>
  </si>
  <si>
    <t>Rehana Khan</t>
  </si>
  <si>
    <t>S260</t>
  </si>
  <si>
    <t>Ramesh Patel</t>
  </si>
  <si>
    <t>S261</t>
  </si>
  <si>
    <t>Ajay Shetty</t>
  </si>
  <si>
    <t>S264</t>
  </si>
  <si>
    <t>Sonal Kapoor</t>
  </si>
  <si>
    <t>S265</t>
  </si>
  <si>
    <t>Rupali Singh</t>
  </si>
  <si>
    <t>S267</t>
  </si>
  <si>
    <t>Manjit Nair</t>
  </si>
  <si>
    <t>S268</t>
  </si>
  <si>
    <t>Aparna Shetty</t>
  </si>
  <si>
    <t>S269</t>
  </si>
  <si>
    <t>Pooja Malhotra</t>
  </si>
  <si>
    <t>S270</t>
  </si>
  <si>
    <t>Apeksha Joshi</t>
  </si>
  <si>
    <t>S271</t>
  </si>
  <si>
    <t>S272</t>
  </si>
  <si>
    <t>Bhavna Bhatia</t>
  </si>
  <si>
    <t>S107</t>
  </si>
  <si>
    <t>Company C</t>
  </si>
  <si>
    <t>S450</t>
  </si>
  <si>
    <t>Tejinder Singh</t>
  </si>
  <si>
    <t>S381</t>
  </si>
  <si>
    <t>Nikhilesh Rao</t>
  </si>
  <si>
    <t>S277</t>
  </si>
  <si>
    <t>Deepa Rao</t>
  </si>
  <si>
    <t>S458</t>
  </si>
  <si>
    <t>Ritesh Gupta</t>
  </si>
  <si>
    <t>S418</t>
  </si>
  <si>
    <t>S165</t>
  </si>
  <si>
    <t>S051</t>
  </si>
  <si>
    <t>Divya Kapoor</t>
  </si>
  <si>
    <t>S286</t>
  </si>
  <si>
    <t>S244</t>
  </si>
  <si>
    <t>Gayatri Patel</t>
  </si>
  <si>
    <t>S075</t>
  </si>
  <si>
    <t>Tarun Bhatia</t>
  </si>
  <si>
    <t>S403</t>
  </si>
  <si>
    <t>Malathi Singh</t>
  </si>
  <si>
    <t>S213</t>
  </si>
  <si>
    <t>Santhosh Nair</t>
  </si>
  <si>
    <t>S127</t>
  </si>
  <si>
    <t>Keshav Choudhury</t>
  </si>
  <si>
    <t>S215</t>
  </si>
  <si>
    <t>Hina Khan</t>
  </si>
  <si>
    <t>S417</t>
  </si>
  <si>
    <t>Uday Verma</t>
  </si>
  <si>
    <t>S429</t>
  </si>
  <si>
    <t>Anant Kulkarni</t>
  </si>
  <si>
    <t>S461</t>
  </si>
  <si>
    <t>Poornima Joshi</t>
  </si>
  <si>
    <t>S201</t>
  </si>
  <si>
    <t>Mohit Kulkarni</t>
  </si>
  <si>
    <t>S112</t>
  </si>
  <si>
    <t>S041</t>
  </si>
  <si>
    <t>Vikash Kapoor</t>
  </si>
  <si>
    <t>S399</t>
  </si>
  <si>
    <t>S222</t>
  </si>
  <si>
    <t>Hemant Joshi</t>
  </si>
  <si>
    <t>S374</t>
  </si>
  <si>
    <t>Savitha Gupta</t>
  </si>
  <si>
    <t>S170</t>
  </si>
  <si>
    <t>Aarohi Rao</t>
  </si>
  <si>
    <t>S322</t>
  </si>
  <si>
    <t>S320</t>
  </si>
  <si>
    <t>Ashutosh Gupta</t>
  </si>
  <si>
    <t>S397</t>
  </si>
  <si>
    <t>Shobitha Patel</t>
  </si>
  <si>
    <t>S008</t>
  </si>
  <si>
    <t>Reyansh Chopra</t>
  </si>
  <si>
    <t>S225</t>
  </si>
  <si>
    <t>Supriya Menon</t>
  </si>
  <si>
    <t>S342</t>
  </si>
  <si>
    <t>Sai Reddy</t>
  </si>
  <si>
    <t>S148</t>
  </si>
  <si>
    <t>Suchitra Bhatia</t>
  </si>
  <si>
    <t>S072</t>
  </si>
  <si>
    <t>Radha Nair</t>
  </si>
  <si>
    <t>S295</t>
  </si>
  <si>
    <t>S391</t>
  </si>
  <si>
    <t>Manjula Kulkarni</t>
  </si>
  <si>
    <t>S435</t>
  </si>
  <si>
    <t>Keerthi Reddy</t>
  </si>
  <si>
    <t>Aparajita Das</t>
  </si>
  <si>
    <t>S078</t>
  </si>
  <si>
    <t>Sandeep Joshi</t>
  </si>
  <si>
    <t>S021</t>
  </si>
  <si>
    <t>Anil Verma</t>
  </si>
  <si>
    <t>S121</t>
  </si>
  <si>
    <t>Ashwin Iyer</t>
  </si>
  <si>
    <t>S012</t>
  </si>
  <si>
    <t>Ananya Rao</t>
  </si>
  <si>
    <t>S190</t>
  </si>
  <si>
    <t>Akash Patel</t>
  </si>
  <si>
    <t>S377</t>
  </si>
  <si>
    <t>Rupa Sharma</t>
  </si>
  <si>
    <t>S459</t>
  </si>
  <si>
    <t>Kusum Nair</t>
  </si>
  <si>
    <t>S035</t>
  </si>
  <si>
    <t>Vikram Shetty</t>
  </si>
  <si>
    <t>S037</t>
  </si>
  <si>
    <t>Priya Sharma</t>
  </si>
  <si>
    <t>S181</t>
  </si>
  <si>
    <t>Suraj Das</t>
  </si>
  <si>
    <t>S114</t>
  </si>
  <si>
    <t>Ruhi Malhotra</t>
  </si>
  <si>
    <t>S390</t>
  </si>
  <si>
    <t>Ranjana Joshi</t>
  </si>
  <si>
    <t>S157</t>
  </si>
  <si>
    <t>Prerna Menon</t>
  </si>
  <si>
    <t>S394</t>
  </si>
  <si>
    <t>Bhavana Patel</t>
  </si>
  <si>
    <t>S096</t>
  </si>
  <si>
    <t>Shafiq Malik</t>
  </si>
  <si>
    <t>S313</t>
  </si>
  <si>
    <t>Raghavendra Shetty</t>
  </si>
  <si>
    <t>S351</t>
  </si>
  <si>
    <t>ananya mukherjee</t>
  </si>
  <si>
    <t>S356</t>
  </si>
  <si>
    <t>Jitendra Bhatia</t>
  </si>
  <si>
    <t>S108</t>
  </si>
  <si>
    <t>S415</t>
  </si>
  <si>
    <t>Rafiq Ansari</t>
  </si>
  <si>
    <t>S275</t>
  </si>
  <si>
    <t>Roopa Singh</t>
  </si>
  <si>
    <t>S151</t>
  </si>
  <si>
    <t>Komal Malhotra</t>
  </si>
  <si>
    <t>S348</t>
  </si>
  <si>
    <t>Faisal Khan</t>
  </si>
  <si>
    <t>S014</t>
  </si>
  <si>
    <t>Navya Menon</t>
  </si>
  <si>
    <t>S419</t>
  </si>
  <si>
    <t>Danish Khan</t>
  </si>
  <si>
    <t>S142</t>
  </si>
  <si>
    <t>Sushma Iyer</t>
  </si>
  <si>
    <t>S070</t>
  </si>
  <si>
    <t>Nirmala Iyer</t>
  </si>
  <si>
    <t>S176</t>
  </si>
  <si>
    <t>Mahesh Kapoor</t>
  </si>
  <si>
    <t>S023</t>
  </si>
  <si>
    <t>Manish Gupta</t>
  </si>
  <si>
    <t>S069</t>
  </si>
  <si>
    <t>Rahul Mehta</t>
  </si>
  <si>
    <t>S134</t>
  </si>
  <si>
    <t>Sunil Patel</t>
  </si>
  <si>
    <t>S090</t>
  </si>
  <si>
    <t>Rekha Iyer</t>
  </si>
  <si>
    <t>S013</t>
  </si>
  <si>
    <t>Anup Shetty</t>
  </si>
  <si>
    <t>S060</t>
  </si>
  <si>
    <t>Alka Joshi</t>
  </si>
  <si>
    <t>S430</t>
  </si>
  <si>
    <t>Milan Patel</t>
  </si>
  <si>
    <t>S405</t>
  </si>
  <si>
    <t>Pradeep Choudhury</t>
  </si>
  <si>
    <t>S293</t>
  </si>
  <si>
    <t>Seher Ansari</t>
  </si>
  <si>
    <t>S409</t>
  </si>
  <si>
    <t>Salman Khan</t>
  </si>
  <si>
    <t>S386</t>
  </si>
  <si>
    <t>Shalini Kapoor</t>
  </si>
  <si>
    <t>S095</t>
  </si>
  <si>
    <t>Leela Singh</t>
  </si>
  <si>
    <t>S109</t>
  </si>
  <si>
    <t>Dev Sharma</t>
  </si>
  <si>
    <t>S063</t>
  </si>
  <si>
    <t>Gauri Nair</t>
  </si>
  <si>
    <t>S049</t>
  </si>
  <si>
    <t>Sneha Patel</t>
  </si>
  <si>
    <t>S316</t>
  </si>
  <si>
    <t>Shaan Mehta</t>
  </si>
  <si>
    <t>S182</t>
  </si>
  <si>
    <t>Balaji Rao</t>
  </si>
  <si>
    <t>S443</t>
  </si>
  <si>
    <t>Arman Sharma</t>
  </si>
  <si>
    <t>S361</t>
  </si>
  <si>
    <t>Fatima Banu</t>
  </si>
  <si>
    <t>S130</t>
  </si>
  <si>
    <t>Harinder Malhotra</t>
  </si>
  <si>
    <t>S431</t>
  </si>
  <si>
    <t>Ayesha Khan</t>
  </si>
  <si>
    <t>S352</t>
  </si>
  <si>
    <t>Nandan Reddy</t>
  </si>
  <si>
    <t>S339</t>
  </si>
  <si>
    <t>Gaurav Shetty</t>
  </si>
  <si>
    <t>S285</t>
  </si>
  <si>
    <t>Trupti Reddy</t>
  </si>
  <si>
    <t>S359</t>
  </si>
  <si>
    <t>Kajal Kapoor</t>
  </si>
  <si>
    <t>S234</t>
  </si>
  <si>
    <t>Leela Bhatia</t>
  </si>
  <si>
    <t>S064</t>
  </si>
  <si>
    <t>Harini Iyer</t>
  </si>
  <si>
    <t>S332</t>
  </si>
  <si>
    <t>Alok Verma</t>
  </si>
  <si>
    <t>S153</t>
  </si>
  <si>
    <t>S326</t>
  </si>
  <si>
    <t>Arpit Mehta</t>
  </si>
  <si>
    <t>S088</t>
  </si>
  <si>
    <t>Jyoti Mehta</t>
  </si>
  <si>
    <t>S441</t>
  </si>
  <si>
    <t>Nirmesh Gupta</t>
  </si>
  <si>
    <t>S282</t>
  </si>
  <si>
    <t>Archana Sharma</t>
  </si>
  <si>
    <t>S195</t>
  </si>
  <si>
    <t>S162</t>
  </si>
  <si>
    <t>Shyam Menon</t>
  </si>
  <si>
    <t>S278</t>
  </si>
  <si>
    <t>Mridula Choudhury</t>
  </si>
  <si>
    <t>S365</t>
  </si>
  <si>
    <t>Devanshi Kulkarni</t>
  </si>
  <si>
    <t>S451</t>
  </si>
  <si>
    <t>S334</t>
  </si>
  <si>
    <t>Shivam Malhotra</t>
  </si>
  <si>
    <t>S103</t>
  </si>
  <si>
    <t>Padma Patel</t>
  </si>
  <si>
    <t>S010</t>
  </si>
  <si>
    <t>Shubham Verma</t>
  </si>
  <si>
    <t>S116</t>
  </si>
  <si>
    <t>Tanishka Rao</t>
  </si>
  <si>
    <t>S448</t>
  </si>
  <si>
    <t>Balaraj Menon</t>
  </si>
  <si>
    <t>S254</t>
  </si>
  <si>
    <t>Sharanya Kulkarni</t>
  </si>
  <si>
    <t>S159</t>
  </si>
  <si>
    <t>S299</t>
  </si>
  <si>
    <t>Gokul Iyer</t>
  </si>
  <si>
    <t>S294</t>
  </si>
  <si>
    <t>Manisha Malhotra</t>
  </si>
  <si>
    <t>S149</t>
  </si>
  <si>
    <t>Ritika Verma</t>
  </si>
  <si>
    <t>S253</t>
  </si>
  <si>
    <t>Ishwarya Mehta</t>
  </si>
  <si>
    <t>S230</t>
  </si>
  <si>
    <t>Amrita Reddy</t>
  </si>
  <si>
    <t>S028</t>
  </si>
  <si>
    <t>Suresh Bhatia</t>
  </si>
  <si>
    <t>S001</t>
  </si>
  <si>
    <t>Aadhya Jain</t>
  </si>
  <si>
    <t>S199</t>
  </si>
  <si>
    <t>Ashok Menon</t>
  </si>
  <si>
    <t>S384</t>
  </si>
  <si>
    <t>Neetu Shetty</t>
  </si>
  <si>
    <t>S146</t>
  </si>
  <si>
    <t>Bhavya Kapoor</t>
  </si>
  <si>
    <t>S303</t>
  </si>
  <si>
    <t>Harpal Singh</t>
  </si>
  <si>
    <t>S046</t>
  </si>
  <si>
    <t>S428</t>
  </si>
  <si>
    <t>Rohit Singh</t>
  </si>
  <si>
    <t>Company D</t>
  </si>
  <si>
    <t>S126</t>
  </si>
  <si>
    <t>Armaan Joshi</t>
  </si>
  <si>
    <t>S266</t>
  </si>
  <si>
    <t>S132</t>
  </si>
  <si>
    <t>S438</t>
  </si>
  <si>
    <t>S422</t>
  </si>
  <si>
    <t>Gayathri Kulkarni</t>
  </si>
  <si>
    <t>S437</t>
  </si>
  <si>
    <t>Taslima Begum</t>
  </si>
  <si>
    <t>S065</t>
  </si>
  <si>
    <t>Tanmay Kulkarni</t>
  </si>
  <si>
    <t>S357</t>
  </si>
  <si>
    <t>Parvathi Iyer</t>
  </si>
  <si>
    <t>S297</t>
  </si>
  <si>
    <t>Zubair Khan</t>
  </si>
  <si>
    <t>S442</t>
  </si>
  <si>
    <t>Mridula Shetty</t>
  </si>
  <si>
    <t>S033</t>
  </si>
  <si>
    <t>Abhishek Joshi</t>
  </si>
  <si>
    <t>S196</t>
  </si>
  <si>
    <t>Krishnan Iyer</t>
  </si>
  <si>
    <t>S335</t>
  </si>
  <si>
    <t>S185</t>
  </si>
  <si>
    <t>Nirmal Reddy</t>
  </si>
  <si>
    <t>S373</t>
  </si>
  <si>
    <t>Charu Choudhury</t>
  </si>
  <si>
    <t>S449</t>
  </si>
  <si>
    <t>Ananya Mishra</t>
  </si>
  <si>
    <t>S317</t>
  </si>
  <si>
    <t>S376</t>
  </si>
  <si>
    <t>Rekha Kapoor</t>
  </si>
  <si>
    <t>S347</t>
  </si>
  <si>
    <t>S113</t>
  </si>
  <si>
    <t>Simran Singh</t>
  </si>
  <si>
    <t>S413</t>
  </si>
  <si>
    <t>S455</t>
  </si>
  <si>
    <t>S306</t>
  </si>
  <si>
    <t>Kamal Kapoor</t>
  </si>
  <si>
    <t>S239</t>
  </si>
  <si>
    <t>Chaitanya Rao</t>
  </si>
  <si>
    <t>S456</t>
  </si>
  <si>
    <t>Charulata Patel</t>
  </si>
  <si>
    <t>S111</t>
  </si>
  <si>
    <t>Jeet Malhotra</t>
  </si>
  <si>
    <t>S124</t>
  </si>
  <si>
    <t>Prakash Bhatia</t>
  </si>
  <si>
    <t>S304</t>
  </si>
  <si>
    <t>S032</t>
  </si>
  <si>
    <t>Gopal Das</t>
  </si>
  <si>
    <t>S460</t>
  </si>
  <si>
    <t>Sunil Choudhury</t>
  </si>
  <si>
    <t>S446</t>
  </si>
  <si>
    <t>Sidharth Reddy</t>
  </si>
  <si>
    <t>S463</t>
  </si>
  <si>
    <t>Madhuri Malhotra</t>
  </si>
  <si>
    <t>S087</t>
  </si>
  <si>
    <t>Yogesh Nair</t>
  </si>
  <si>
    <t>S423</t>
  </si>
  <si>
    <t>Hemlata Kapoor</t>
  </si>
  <si>
    <t>S370</t>
  </si>
  <si>
    <t>Ruhan Patel</t>
  </si>
  <si>
    <t>S071</t>
  </si>
  <si>
    <t>S226</t>
  </si>
  <si>
    <t>Manohar Das</t>
  </si>
  <si>
    <t>S369</t>
  </si>
  <si>
    <t>Vihaan Reddy</t>
  </si>
  <si>
    <t>S020</t>
  </si>
  <si>
    <t>krishna agarwal</t>
  </si>
  <si>
    <t>S345</t>
  </si>
  <si>
    <t>Ranjit Joshi</t>
  </si>
  <si>
    <t>S447</t>
  </si>
  <si>
    <t>Yamini Reddy</t>
  </si>
  <si>
    <t>S205</t>
  </si>
  <si>
    <t>S202</t>
  </si>
  <si>
    <t>Kiran Verma</t>
  </si>
  <si>
    <t>S062</t>
  </si>
  <si>
    <t>Kiran Menon</t>
  </si>
  <si>
    <t>S311</t>
  </si>
  <si>
    <t>Bharat Rao</t>
  </si>
  <si>
    <t>S163</t>
  </si>
  <si>
    <t>Mariam Banu</t>
  </si>
  <si>
    <t>S228</t>
  </si>
  <si>
    <t>Rohan Patel</t>
  </si>
  <si>
    <t>S436</t>
  </si>
  <si>
    <t>Janani Iyer</t>
  </si>
  <si>
    <t>Navpreet Kaur</t>
  </si>
  <si>
    <t>S006</t>
  </si>
  <si>
    <t>Yatin Verma</t>
  </si>
  <si>
    <t>S298</t>
  </si>
  <si>
    <t>Arvind Reddy</t>
  </si>
  <si>
    <t>S003</t>
  </si>
  <si>
    <t>Diya Gupta</t>
  </si>
  <si>
    <t>S346</t>
  </si>
  <si>
    <t>Hemendra Nair</t>
  </si>
  <si>
    <t>S139</t>
  </si>
  <si>
    <t>Kavitha Sharma</t>
  </si>
  <si>
    <t>S174</t>
  </si>
  <si>
    <t>Gopal Joshi</t>
  </si>
  <si>
    <t>S019</t>
  </si>
  <si>
    <t>S410</t>
  </si>
  <si>
    <t>Yamuna Rao</t>
  </si>
  <si>
    <t>S319</t>
  </si>
  <si>
    <t>Harpreet Kaur</t>
  </si>
  <si>
    <t>S047</t>
  </si>
  <si>
    <t>Shreya Choudhury</t>
  </si>
  <si>
    <t>S292</t>
  </si>
  <si>
    <t>Madhura Reddy</t>
  </si>
  <si>
    <t>S034</t>
  </si>
  <si>
    <t>Siddharth Rao</t>
  </si>
  <si>
    <t>S389</t>
  </si>
  <si>
    <t>Laxmi Verma</t>
  </si>
  <si>
    <t>S007</t>
  </si>
  <si>
    <t>Harjit Singh</t>
  </si>
  <si>
    <t>S312</t>
  </si>
  <si>
    <t>Akhil Patel</t>
  </si>
  <si>
    <t>S240</t>
  </si>
  <si>
    <t>Laxmi Sharma</t>
  </si>
  <si>
    <t>S281</t>
  </si>
  <si>
    <t>Vaishali Nair</t>
  </si>
  <si>
    <t>S358</t>
  </si>
  <si>
    <t>Tejas Sharma</t>
  </si>
  <si>
    <t>S408</t>
  </si>
  <si>
    <t>Jhanvi Reddy</t>
  </si>
  <si>
    <t>S140</t>
  </si>
  <si>
    <t>Anjali Mehta</t>
  </si>
  <si>
    <t>Ayaan Patel</t>
  </si>
  <si>
    <t>Deepika Gupta</t>
  </si>
  <si>
    <t>Abid Hussain</t>
  </si>
  <si>
    <t>Surya Patel</t>
  </si>
  <si>
    <t>Zeenat Banu</t>
  </si>
  <si>
    <t>S169</t>
  </si>
  <si>
    <t>Diya Singh</t>
  </si>
  <si>
    <t>S048</t>
  </si>
  <si>
    <t>S242</t>
  </si>
  <si>
    <t>Anuradha Rao</t>
  </si>
  <si>
    <t>Sanjana Kulkarni</t>
  </si>
  <si>
    <t>Simran Kapoor</t>
  </si>
  <si>
    <t>Tarun Kapoor</t>
  </si>
  <si>
    <t>Ashok Nair</t>
  </si>
  <si>
    <t>Rekha Malhotra</t>
  </si>
  <si>
    <t>Biju Nair</t>
  </si>
  <si>
    <t>Rajesh Nair</t>
  </si>
  <si>
    <t>Smita Malhotra</t>
  </si>
  <si>
    <t>Aarti Sharma</t>
  </si>
  <si>
    <t>Shruti Mehta</t>
  </si>
  <si>
    <t>Rajan Shetty</t>
  </si>
  <si>
    <t>Abhisar Nair</t>
  </si>
  <si>
    <t>Anil Gupta</t>
  </si>
  <si>
    <t>Tia Verma</t>
  </si>
  <si>
    <t>Anshul Mehta</t>
  </si>
  <si>
    <t>Snehal Gupta</t>
  </si>
  <si>
    <t>Hema Shetty</t>
  </si>
  <si>
    <t>Vikas Kapoor</t>
  </si>
  <si>
    <t>Mukesh Mehta</t>
  </si>
  <si>
    <t>Anupama Nair</t>
  </si>
  <si>
    <t>Lata Kulkarni</t>
  </si>
  <si>
    <t>Nafisa Khan</t>
  </si>
  <si>
    <t>Alok Choudhury</t>
  </si>
  <si>
    <t>Sameer Deshmukh</t>
  </si>
  <si>
    <t>Narayan Iyer</t>
  </si>
  <si>
    <t>Shobha Nair</t>
  </si>
  <si>
    <t>Dilip Malhotra</t>
  </si>
  <si>
    <t>Parvesh Singh</t>
  </si>
  <si>
    <t>Chandan Bhatia</t>
  </si>
  <si>
    <t>Omkar Gupta</t>
  </si>
  <si>
    <t>Sachin Kulkarni</t>
  </si>
  <si>
    <t>Tanvi Reddy</t>
  </si>
  <si>
    <t>Mrinalini Iyer</t>
  </si>
  <si>
    <t>Noor Khan</t>
  </si>
  <si>
    <t>Poonam Kapoor</t>
  </si>
  <si>
    <t>Vipul Mehta</t>
  </si>
  <si>
    <t>Radhika Sharma</t>
  </si>
  <si>
    <t>Variant</t>
  </si>
  <si>
    <t>Standard_Department</t>
  </si>
  <si>
    <t>Company</t>
  </si>
  <si>
    <t>Interview_Slots_Available</t>
  </si>
  <si>
    <t>Min_WeightedScore</t>
  </si>
  <si>
    <t>Min_Attendance_%</t>
  </si>
  <si>
    <t>Test</t>
  </si>
  <si>
    <t>Weight</t>
  </si>
  <si>
    <t>Test_1</t>
  </si>
  <si>
    <t>Test_2</t>
  </si>
  <si>
    <t>Test_3</t>
  </si>
  <si>
    <t>COUNTA of Name</t>
  </si>
  <si>
    <t>Grand Total</t>
  </si>
  <si>
    <t>Eligible</t>
  </si>
  <si>
    <t>Not Eligible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</si>
</sst>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\-mmm\-yyyy"/>
    <numFmt numFmtId="166" formatCode="yyyy\-mm\-dd"/>
    <numFmt numFmtId="167" formatCode="mm/dd/yy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Font="1" applyNumberFormat="1"/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165" xfId="0" applyFont="1" applyNumberFormat="1"/>
    <xf borderId="0" fillId="0" fontId="4" numFmtId="164" xfId="0" applyFont="1" applyNumberFormat="1"/>
    <xf borderId="0" fillId="0" fontId="4" numFmtId="4" xfId="0" applyFont="1" applyNumberFormat="1"/>
    <xf borderId="0" fillId="0" fontId="4" numFmtId="10" xfId="0" applyFont="1" applyNumberFormat="1"/>
    <xf borderId="0" fillId="0" fontId="3" numFmtId="0" xfId="0" applyFont="1"/>
    <xf borderId="0" fillId="0" fontId="4" numFmtId="166" xfId="0" applyFont="1" applyNumberFormat="1"/>
    <xf borderId="0" fillId="0" fontId="4" numFmtId="9" xfId="0" applyFont="1" applyNumberFormat="1"/>
    <xf borderId="0" fillId="0" fontId="4" numFmtId="167" xfId="0" applyFont="1" applyNumberFormat="1"/>
    <xf borderId="0" fillId="0" fontId="3" numFmtId="164" xfId="0" applyFont="1" applyNumberFormat="1"/>
    <xf borderId="0" fillId="0" fontId="3" numFmtId="10" xfId="0" applyFont="1" applyNumberFormat="1"/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Allocation % Department-wise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Dashboard!$A$1:$A$2</c:f>
            </c:strRef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Dashboard!$A$3:$A$6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Allocation status Company-wise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Dashboard!$J$1:$J$2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Dashboard!$I$3:$I$6</c:f>
            </c:strRef>
          </c:cat>
          <c:val>
            <c:numRef>
              <c:f>Dashboard!$J$3:$J$6</c:f>
              <c:numCache/>
            </c:numRef>
          </c:val>
        </c:ser>
        <c:ser>
          <c:idx val="1"/>
          <c:order val="1"/>
          <c:tx>
            <c:strRef>
              <c:f>Dashboard!$K$1:$K$2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Dashboard!$I$3:$I$6</c:f>
            </c:strRef>
          </c:cat>
          <c:val>
            <c:numRef>
              <c:f>Dashboard!$K$3:$K$6</c:f>
              <c:numCache/>
            </c:numRef>
          </c:val>
        </c:ser>
        <c:overlap val="100"/>
        <c:axId val="735397384"/>
        <c:axId val="60162608"/>
      </c:barChart>
      <c:catAx>
        <c:axId val="735397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Internship_Pref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162608"/>
      </c:catAx>
      <c:valAx>
        <c:axId val="60162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53973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Eligibilty Company-wise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Dashboard!$S$1:$S$2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Dashboard!$R$3:$R$6</c:f>
            </c:strRef>
          </c:cat>
          <c:val>
            <c:numRef>
              <c:f>Dashboard!$S$3:$S$6</c:f>
              <c:numCache/>
            </c:numRef>
          </c:val>
        </c:ser>
        <c:ser>
          <c:idx val="1"/>
          <c:order val="1"/>
          <c:tx>
            <c:strRef>
              <c:f>Dashboard!$T$1:$T$2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Dashboard!$R$3:$R$6</c:f>
            </c:strRef>
          </c:cat>
          <c:val>
            <c:numRef>
              <c:f>Dashboard!$T$3:$T$6</c:f>
              <c:numCache/>
            </c:numRef>
          </c:val>
        </c:ser>
        <c:overlap val="100"/>
        <c:axId val="595804660"/>
        <c:axId val="1786931663"/>
      </c:barChart>
      <c:catAx>
        <c:axId val="595804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Internship_Pref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6931663"/>
      </c:catAx>
      <c:valAx>
        <c:axId val="17869316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58046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Allocation % Department-wise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Dashboard!$J$44:$J$45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Dashboard!$I$46:$I$49</c:f>
            </c:strRef>
          </c:cat>
          <c:val>
            <c:numRef>
              <c:f>Dashboard!$J$46:$J$49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Eligibility % Department-wise</a:t>
            </a:r>
          </a:p>
        </c:rich>
      </c:tx>
      <c:layout>
        <c:manualLayout>
          <c:xMode val="edge"/>
          <c:yMode val="edge"/>
          <c:x val="0.03543624161073826"/>
          <c:y val="0.051893939393939395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Dashboard!$S$44:$S$45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Dashboard!$R$46:$R$49</c:f>
            </c:strRef>
          </c:cat>
          <c:val>
            <c:numRef>
              <c:f>Dashboard!$S$46:$S$49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52</xdr:row>
      <xdr:rowOff>28575</xdr:rowOff>
    </xdr:from>
    <xdr:ext cx="6686550" cy="5086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962025</xdr:colOff>
      <xdr:row>10</xdr:row>
      <xdr:rowOff>47625</xdr:rowOff>
    </xdr:from>
    <xdr:ext cx="6486525" cy="38671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781050</xdr:colOff>
      <xdr:row>10</xdr:row>
      <xdr:rowOff>47625</xdr:rowOff>
    </xdr:from>
    <xdr:ext cx="5915025" cy="38671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0</xdr:colOff>
      <xdr:row>52</xdr:row>
      <xdr:rowOff>28575</xdr:rowOff>
    </xdr:from>
    <xdr:ext cx="6686550" cy="50863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17</xdr:col>
      <xdr:colOff>28575</xdr:colOff>
      <xdr:row>52</xdr:row>
      <xdr:rowOff>28575</xdr:rowOff>
    </xdr:from>
    <xdr:ext cx="7096125" cy="50292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7524750" cy="4610100"/>
    <xdr:sp>
      <xdr:nvSpPr>
        <xdr:cNvPr id="3" name="Shape 3"/>
        <xdr:cNvSpPr/>
      </xdr:nvSpPr>
      <xdr:spPr>
        <a:xfrm>
          <a:off x="1290400" y="1201350"/>
          <a:ext cx="8064300" cy="4587000"/>
        </a:xfrm>
        <a:prstGeom prst="snip1Rect">
          <a:avLst>
            <a:gd fmla="val 16667" name="adj"/>
          </a:avLst>
        </a:prstGeom>
        <a:solidFill>
          <a:srgbClr val="93C47D"/>
        </a:solidFill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rgbClr val="0000FF"/>
              </a:solidFill>
            </a:rPr>
            <a:t>KEY PERFORMANCE INDICATORS (KPIs)</a:t>
          </a:r>
          <a:endParaRPr b="1" sz="2400">
            <a:solidFill>
              <a:srgbClr val="0000F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2400"/>
        </a:p>
        <a:p>
          <a:pPr indent="457200" lvl="0" marL="914400" rtl="0" algn="l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Total Applicants			</a:t>
          </a:r>
          <a:r>
            <a:rPr b="1" lang="en-US" sz="2400"/>
            <a:t>471</a:t>
          </a:r>
          <a:endParaRPr b="1" sz="2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2400"/>
        </a:p>
        <a:p>
          <a:pPr indent="457200" lvl="0" marL="914400" rtl="0" algn="l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Eligible Students			</a:t>
          </a:r>
          <a:r>
            <a:rPr b="1" lang="en-US" sz="2400"/>
            <a:t>352</a:t>
          </a:r>
          <a:endParaRPr b="1" sz="2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2400"/>
        </a:p>
        <a:p>
          <a:pPr indent="457200" lvl="0" marL="914400" rtl="0" algn="l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Allocated Students		</a:t>
          </a:r>
          <a:r>
            <a:rPr b="1" lang="en-US" sz="2400"/>
            <a:t>215</a:t>
          </a:r>
          <a:endParaRPr b="1" sz="2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2400"/>
        </a:p>
        <a:p>
          <a:pPr indent="457200" lvl="0" marL="914400" rtl="0" algn="l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Eligible Allocation Rate	</a:t>
          </a:r>
          <a:r>
            <a:rPr b="1" lang="en-US" sz="2400"/>
            <a:t>61.1</a:t>
          </a:r>
          <a:r>
            <a:rPr b="1" lang="en-US" sz="2400"/>
            <a:t>%</a:t>
          </a:r>
          <a:endParaRPr b="1" sz="2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2900"/>
        </a:p>
      </xdr:txBody>
    </xdr:sp>
    <xdr:clientData fLocksWithSheet="0"/>
  </xdr:oneCellAnchor>
  <xdr:oneCellAnchor>
    <xdr:from>
      <xdr:col>0</xdr:col>
      <xdr:colOff>0</xdr:colOff>
      <xdr:row>26</xdr:row>
      <xdr:rowOff>114300</xdr:rowOff>
    </xdr:from>
    <xdr:ext cx="7524750" cy="4676775"/>
    <xdr:sp>
      <xdr:nvSpPr>
        <xdr:cNvPr id="4" name="Shape 4"/>
        <xdr:cNvSpPr/>
      </xdr:nvSpPr>
      <xdr:spPr>
        <a:xfrm>
          <a:off x="921325" y="1149200"/>
          <a:ext cx="9619500" cy="5973900"/>
        </a:xfrm>
        <a:prstGeom prst="snip1Rect">
          <a:avLst>
            <a:gd fmla="val 16667" name="adj"/>
          </a:avLst>
        </a:prstGeom>
        <a:solidFill>
          <a:srgbClr val="93C47D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• A total of </a:t>
          </a:r>
          <a:r>
            <a:rPr b="1" lang="en-US" sz="2400"/>
            <a:t>471 students</a:t>
          </a:r>
          <a:r>
            <a:rPr lang="en-US" sz="2400"/>
            <a:t> applied for internships across four companies.</a:t>
          </a:r>
          <a:endParaRPr sz="2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• </a:t>
          </a:r>
          <a:r>
            <a:rPr b="1" lang="en-US" sz="2400"/>
            <a:t>352 students (74.7%)</a:t>
          </a:r>
          <a:r>
            <a:rPr lang="en-US" sz="2400"/>
            <a:t> met the eligibility criteria, while </a:t>
          </a:r>
          <a:r>
            <a:rPr b="1" lang="en-US" sz="2400"/>
            <a:t>119 students</a:t>
          </a:r>
          <a:r>
            <a:rPr lang="en-US" sz="2400"/>
            <a:t> were not eligible.</a:t>
          </a:r>
          <a:endParaRPr sz="2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• </a:t>
          </a:r>
          <a:r>
            <a:rPr b="1" lang="en-US" sz="2400"/>
            <a:t>215 students</a:t>
          </a:r>
          <a:r>
            <a:rPr lang="en-US" sz="2400"/>
            <a:t> were successfully allocated to internship opportunities, resulting in an overall </a:t>
          </a:r>
          <a:r>
            <a:rPr b="1" lang="en-US" sz="2400"/>
            <a:t>allocation rate of 45.6%</a:t>
          </a:r>
          <a:r>
            <a:rPr lang="en-US" sz="2400"/>
            <a:t>.</a:t>
          </a:r>
          <a:endParaRPr sz="2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• </a:t>
          </a:r>
          <a:r>
            <a:rPr b="1" lang="en-US" sz="2400"/>
            <a:t>Company C</a:t>
          </a:r>
          <a:r>
            <a:rPr lang="en-US" sz="2400"/>
            <a:t> recorded the highest number of eligible students, while </a:t>
          </a:r>
          <a:r>
            <a:rPr b="1" lang="en-US" sz="2400"/>
            <a:t>Company B</a:t>
          </a:r>
          <a:r>
            <a:rPr lang="en-US" sz="2400"/>
            <a:t> had the highest number of non-eligible applicants.</a:t>
          </a:r>
          <a:endParaRPr sz="2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• Allocation distribution across departments was relatively balanced, with </a:t>
          </a:r>
          <a:r>
            <a:rPr b="1" lang="en-US" sz="2400"/>
            <a:t>Mechanical Engineering</a:t>
          </a:r>
          <a:r>
            <a:rPr lang="en-US" sz="2400"/>
            <a:t> receiving the highest share of allocations.</a:t>
          </a:r>
          <a:endParaRPr sz="2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• The dashboard highlights applicant eligibility, allocation status, and department-wise participation, enabling quick assessment of internship placement outcomes.</a:t>
          </a:r>
          <a:endParaRPr sz="2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472" sheet="Applicants_Raw"/>
  </cacheSource>
  <cacheFields>
    <cacheField name="Student_ID" numFmtId="0">
      <sharedItems containsBlank="1">
        <s v="S324"/>
        <s v="S053"/>
        <s v="S005"/>
        <s v="S110"/>
        <s v="S233"/>
        <s v="S307"/>
        <s v="S323"/>
        <s v="S045"/>
        <s v="S427"/>
        <s v="S056"/>
        <s v="S243"/>
        <s v="S300"/>
        <s v="S387"/>
        <s v="S067"/>
        <s v="S024"/>
        <s v="S343"/>
        <s v="S036"/>
        <s v="S288"/>
        <s v="S022"/>
        <s v="S416"/>
        <s v="S411"/>
        <s v="S318"/>
        <s v="S172"/>
        <s v="S152"/>
        <s v="S059"/>
        <s v="S125"/>
        <s v="S137"/>
        <s v="S354"/>
        <s v="S227"/>
        <s v="S120"/>
        <s v="S105"/>
        <s v="S133"/>
        <s v="S009"/>
        <s v="S375"/>
        <s v="S066"/>
        <s v="S079"/>
        <s v="S333"/>
        <s v="S026"/>
        <s v="S040"/>
        <s v="S221"/>
        <s v="S382"/>
        <s v="S058"/>
        <s v="S421"/>
        <s v="S083"/>
        <s v="S102"/>
        <s v="S364"/>
        <s v="S440"/>
        <s v="S338"/>
        <s v="S393"/>
        <s v="S027"/>
        <s v="S337"/>
        <s v="S220"/>
        <s v="S439"/>
        <s v="S057"/>
        <s v="S276"/>
        <s v="S308"/>
        <s v="S191"/>
        <s v="S131"/>
        <s v="S084"/>
        <s v="S406"/>
        <s v="S414"/>
        <s v="S407"/>
        <s v="S452"/>
        <s v="S289"/>
        <s v="S432"/>
        <s v="S232"/>
        <s v="S119"/>
        <s v="S085"/>
        <s v="S434"/>
        <s v="S360"/>
        <s v="S145"/>
        <s v="S118"/>
        <s v="S077"/>
        <s v="S424"/>
        <s v="S094"/>
        <s v="S396"/>
        <s v="S097"/>
        <s v="S150"/>
        <s v="S092"/>
        <s v="S425"/>
        <s v="S193"/>
        <s v="S325"/>
        <s v="S098"/>
        <s v="S217"/>
        <s v="S454"/>
        <s v="S050"/>
        <s v="S187"/>
        <s v="S207"/>
        <s v="S404"/>
        <s v="S198"/>
        <s v="S129"/>
        <s v="S238"/>
        <s v="S147"/>
        <s v="S420"/>
        <s v="S214"/>
        <s v="S080"/>
        <s v="S395"/>
        <s v="S350"/>
        <s v="S426"/>
        <s v="S355"/>
        <s v="S283"/>
        <s v="S330"/>
        <s v="S156"/>
        <s v="S274"/>
        <s v="S385"/>
        <s v="S089"/>
        <s v="S039"/>
        <s v="S106"/>
        <s v="S189"/>
        <s v="S173"/>
        <s v="S262"/>
        <s v="S115"/>
        <s v="S363"/>
        <s v="S166"/>
        <s v="S321"/>
        <s v="S197"/>
        <s v="S155"/>
        <s v="S138"/>
        <s v="S372"/>
        <s v="S161"/>
        <s v="S164"/>
        <s v="S018"/>
        <s v="S091"/>
        <s v="S353"/>
        <s v="S101"/>
        <s v="S168"/>
        <s v="S031"/>
        <s v="S273"/>
        <s v="S336"/>
        <s v="S171"/>
        <s v="S412"/>
        <s v="S128"/>
        <s v="S263"/>
        <s v="S076"/>
        <s v="S029"/>
        <s v="S366"/>
        <s v="S177"/>
        <s v="S314"/>
        <s v="S180"/>
        <s v="S462"/>
        <s v="S158"/>
        <s v="S210"/>
        <s v="S178"/>
        <s v="S398"/>
        <s v="S344"/>
        <s v="S287"/>
        <s v="S433"/>
        <s v="S183"/>
        <s v="S167"/>
        <s v="S188"/>
        <s v="S054"/>
        <s v="S025"/>
        <s v="S192"/>
        <s v="S086"/>
        <s v="S144"/>
        <s v="S044"/>
        <s v="S194"/>
        <s v="S279"/>
        <s v="S100"/>
        <s v="S251"/>
        <s v="S052"/>
        <s v="S141"/>
        <s v="S175"/>
        <s v="S179"/>
        <s v="S280"/>
        <s v="S235"/>
        <s v="S383"/>
        <s v="S016"/>
        <s v="S204"/>
        <s v="S074"/>
        <s v="S367"/>
        <s v="S457"/>
        <s v="S206"/>
        <s v="S224"/>
        <s v="S208"/>
        <s v="S209"/>
        <s v="S143"/>
        <s v="S061"/>
        <s v="S211"/>
        <s v="S290"/>
        <s v="S212"/>
        <s v="S371"/>
        <s v="S302"/>
        <s v="S296"/>
        <s v="S136"/>
        <s v="S216"/>
        <s v="S218"/>
        <s v="S219"/>
        <s v="S310"/>
        <s v="S328"/>
        <s v="S368"/>
        <s v="S042"/>
        <s v="S223"/>
        <s v="S004"/>
        <s v="S099"/>
        <s v="S123"/>
        <s v="S291"/>
        <s v="S229"/>
        <s v="S400"/>
        <s v="S017"/>
        <s v="S309"/>
        <s v="S331"/>
        <s v="S444"/>
        <s v="S305"/>
        <s v="S122"/>
        <s v="S402"/>
        <s v="S362"/>
        <s v="S082"/>
        <s v="S015"/>
        <s v="S236"/>
        <s v="S241"/>
        <s v="S184"/>
        <s v="S231"/>
        <s v="S160"/>
        <s v="S245"/>
        <s v="S341"/>
        <s v="S030"/>
        <s v="S453"/>
        <s v="S203"/>
        <s v="S117"/>
        <s v="S038"/>
        <s v="S135"/>
        <s v="S186"/>
        <s v="S011"/>
        <s v="S301"/>
        <s v="S378"/>
        <s v="S388"/>
        <s v="S200"/>
        <s v="S327"/>
        <s v="S002"/>
        <s v="S104"/>
        <s v="S073"/>
        <s v="S237"/>
        <s v="S379"/>
        <s v="S068"/>
        <s v="S329"/>
        <s v="S055"/>
        <s v="S392"/>
        <s v="S380"/>
        <s v="S315"/>
        <s v="S081"/>
        <s v="S401"/>
        <s v="S154"/>
        <s v="S340"/>
        <s v="S284"/>
        <s v="S349"/>
        <s v="S043"/>
        <s v="S445"/>
        <s v="S093"/>
        <s v="S246"/>
        <s v="S247"/>
        <s v="S248"/>
        <s v="S249"/>
        <s v="S250"/>
        <s v="S252"/>
        <s v="S255"/>
        <s v="S256"/>
        <s v="S257"/>
        <s v="S258"/>
        <s v="S259"/>
        <s v="S260"/>
        <s v="S261"/>
        <s v="S264"/>
        <s v="S265"/>
        <s v="S267"/>
        <s v="S268"/>
        <s v="S269"/>
        <s v="S270"/>
        <s v="S271"/>
        <s v="S272"/>
        <s v="S107"/>
        <s v="S450"/>
        <s v="S381"/>
        <s v="S277"/>
        <s v="S458"/>
        <s v="S418"/>
        <s v="S165"/>
        <s v="S051"/>
        <s v="S286"/>
        <s v="S244"/>
        <s v="S075"/>
        <s v="S403"/>
        <s v="S213"/>
        <s v="S127"/>
        <s v="S215"/>
        <s v="S417"/>
        <s v="S429"/>
        <s v="S461"/>
        <s v="S201"/>
        <s v="S112"/>
        <s v="S041"/>
        <s v="S399"/>
        <s v="S222"/>
        <s v="S374"/>
        <s v="S170"/>
        <s v="S322"/>
        <s v="S320"/>
        <s v="S397"/>
        <s v="S008"/>
        <s v="S225"/>
        <s v="S342"/>
        <s v="S148"/>
        <s v="S072"/>
        <s v="S295"/>
        <s v="S391"/>
        <s v="S435"/>
        <m/>
        <s v="S078"/>
        <s v="S021"/>
        <s v="S121"/>
        <s v="S012"/>
        <s v="S190"/>
        <s v="S377"/>
        <s v="S459"/>
        <s v="S035"/>
        <s v="S037"/>
        <s v="S181"/>
        <s v="S114"/>
        <s v="S390"/>
        <s v="S157"/>
        <s v="S394"/>
        <s v="S096"/>
        <s v="S313"/>
        <s v="S351"/>
        <s v="S356"/>
        <s v="S108"/>
        <s v="S415"/>
        <s v="S275"/>
        <s v="S151"/>
        <s v="S348"/>
        <s v="S014"/>
        <s v="S419"/>
        <s v="S142"/>
        <s v="S070"/>
        <s v="S176"/>
        <s v="S023"/>
        <s v="S069"/>
        <s v="S134"/>
        <s v="S090"/>
        <s v="S013"/>
        <s v="S060"/>
        <s v="S430"/>
        <s v="S405"/>
        <s v="S293"/>
        <s v="S409"/>
        <s v="S386"/>
        <s v="S095"/>
        <s v="S109"/>
        <s v="S063"/>
        <s v="S049"/>
        <s v="S316"/>
        <s v="S182"/>
        <s v="S443"/>
        <s v="S361"/>
        <s v="S130"/>
        <s v="S431"/>
        <s v="S352"/>
        <s v="S339"/>
        <s v="S285"/>
        <s v="S359"/>
        <s v="S234"/>
        <s v="S064"/>
        <s v="S332"/>
        <s v="S153"/>
        <s v="S326"/>
        <s v="S088"/>
        <s v="S441"/>
        <s v="S282"/>
        <s v="S195"/>
        <s v="S162"/>
        <s v="S278"/>
        <s v="S365"/>
        <s v="S451"/>
        <s v="S334"/>
        <s v="S103"/>
        <s v="S010"/>
        <s v="S116"/>
        <s v="S448"/>
        <s v="S254"/>
        <s v="S159"/>
        <s v="S299"/>
        <s v="S294"/>
        <s v="S149"/>
        <s v="S253"/>
        <s v="S230"/>
        <s v="S028"/>
        <s v="S001"/>
        <s v="S199"/>
        <s v="S384"/>
        <s v="S146"/>
        <s v="S303"/>
        <s v="S046"/>
        <s v="S428"/>
        <s v="S126"/>
        <s v="S266"/>
        <s v="S132"/>
        <s v="S438"/>
        <s v="S422"/>
        <s v="S437"/>
        <s v="S065"/>
        <s v="S357"/>
        <s v="S297"/>
        <s v="S442"/>
        <s v="S033"/>
        <s v="S196"/>
        <s v="S335"/>
        <s v="S185"/>
        <s v="S373"/>
        <s v="S449"/>
        <s v="S317"/>
        <s v="S376"/>
        <s v="S347"/>
        <s v="S113"/>
        <s v="S413"/>
        <s v="S455"/>
        <s v="S306"/>
        <s v="S239"/>
        <s v="S456"/>
        <s v="S111"/>
        <s v="S124"/>
        <s v="S304"/>
        <s v="S032"/>
        <s v="S460"/>
        <s v="S446"/>
        <s v="S463"/>
        <s v="S087"/>
        <s v="S423"/>
        <s v="S370"/>
        <s v="S071"/>
        <s v="S226"/>
        <s v="S369"/>
        <s v="S020"/>
        <s v="S345"/>
        <s v="S447"/>
        <s v="S205"/>
        <s v="S202"/>
        <s v="S062"/>
        <s v="S311"/>
        <s v="S163"/>
        <s v="S228"/>
        <s v="S436"/>
        <s v="S006"/>
        <s v="S298"/>
        <s v="S003"/>
        <s v="S346"/>
        <s v="S139"/>
        <s v="S174"/>
        <s v="S019"/>
        <s v="S410"/>
        <s v="S319"/>
        <s v="S047"/>
        <s v="S292"/>
        <s v="S034"/>
        <s v="S389"/>
        <s v="S007"/>
        <s v="S312"/>
        <s v="S240"/>
        <s v="S281"/>
        <s v="S358"/>
        <s v="S408"/>
        <s v="S140"/>
        <s v="S169"/>
        <s v="S048"/>
        <s v="S242"/>
      </sharedItems>
    </cacheField>
    <cacheField name="Name" numFmtId="0">
      <sharedItems>
        <s v="Imran Khan"/>
        <s v="Sunita Singh"/>
        <s v="Anika Mukherjee"/>
        <s v="Priti Sharma"/>
        <s v="Nisha Kapoor"/>
        <s v="Tushar Kapoor"/>
        <s v="Priyanka Verma"/>
        <s v="Ritu Mehta"/>
        <s v="Farah Khan"/>
        <s v="Bhavna Das"/>
        <s v="Ishwari Rao"/>
        <s v="Sandeep Nair"/>
        <s v="Gitanjali Bhatia"/>
        <s v="Arvind Sharma"/>
        <s v="Vihaan Singh"/>
        <s v="Niranjan Gupta"/>
        <s v="Aisha Khan"/>
        <s v="Pooja Singh"/>
        <s v="Devendra Patel"/>
        <s v="Nitin Bhatia"/>
        <s v="Lokesh Reddy"/>
        <s v="Yuvraj Choudhury"/>
        <s v="Nilesh Mehta"/>
        <s v="Seema Gupta"/>
        <s v="Rameshwar Das"/>
        <s v="Lalit Verma"/>
        <s v="Vaidehi Nair"/>
        <s v="Keshav Kapoor"/>
        <s v="Asha Malhotra"/>
        <s v="Ajith Iyer"/>
        <s v="Monika Gupta"/>
        <s v="Varun Shetty"/>
        <s v="Kavitha Nair"/>
        <s v="Tejas Malhotra"/>
        <s v="Deepak Verma"/>
        <s v="Kiran Joshi"/>
        <s v="Pranav Kulkarni"/>
        <s v="Kavya Iyer"/>
        <s v="Abhay Gupta"/>
        <s v="Harini Reddy"/>
        <s v="Anjana Nair"/>
        <s v="Manohar Kapoor"/>
        <s v="Archana Shetty"/>
        <s v="Malini Rao"/>
        <s v="Namrata Malhotra"/>
        <s v="Shyam Sharma"/>
        <s v="Ajinkya Patel"/>
        <s v="Sumathi Rao"/>
        <s v="Karan Singh"/>
        <s v="Pranesh Rao"/>
        <s v="Om Nair"/>
        <s v="Prakash Das"/>
        <s v="Ishita Bhatia"/>
        <s v="Tanushree Kulkarni"/>
        <s v="Kunal Bhatia"/>
        <s v="Saurabh Malhotra"/>
        <s v="Manoj Rao"/>
        <s v="Aarohi Jain"/>
        <s v="Amrita Malhotra"/>
        <s v="Ayaan Sharma"/>
        <s v="Rajat Sharma"/>
        <s v="Sana Khan"/>
        <s v="Anusha Verma"/>
        <s v="Harshad Choudhury"/>
        <s v="Savita Nair"/>
        <s v="Siddhant Reddy"/>
        <s v="Amisha Patel"/>
        <s v="Humaira Khan"/>
        <s v="Geeta Singh"/>
        <s v="Nirmala Singh"/>
        <s v="Mohit Mehta"/>
        <s v="Amit Choudhury"/>
        <s v="Hemant Sharma"/>
        <s v="Vandana Nair"/>
        <s v="Meher Gupta"/>
        <s v="Rohan Rao"/>
        <s v="Satyendra Malhotra"/>
        <s v="Swati Kapoor"/>
        <s v="Varadarajan Reddy"/>
        <s v="Umesh Menon"/>
        <s v="Dhananjay Sharma"/>
        <s v="Kusum Choudhury"/>
        <s v="Aruna Das"/>
        <s v="Nandita Mehta"/>
        <s v="Neha Menon"/>
        <s v="Jaspreet Kaur"/>
        <s v="Eshan Patel"/>
        <s v="Tasneem Banu"/>
        <s v="Satyam Bhatia"/>
        <s v="Nitin Das"/>
        <s v="Rupa Shetty"/>
        <s v="Shalini Bhatia"/>
        <s v="Anirudh Rao"/>
        <s v="Inderjit Sharma"/>
        <s v="Kunal Das"/>
        <s v="Khushboo Choudhury"/>
        <s v="Adarsh Mehta"/>
        <s v="Srinivasan Iyer"/>
        <s v="Amarjeet Singh"/>
        <s v="Sonia Mehta"/>
        <s v="Deepthi Reddy"/>
        <s v="Madhavi Choudhury"/>
        <s v="Nalini Malhotra"/>
        <s v="Ishika Iyer"/>
        <s v="Pallavi Reddy"/>
        <s v="Lakshmi Nair"/>
        <s v="Trisha Nair"/>
        <s v="Karthik Shetty"/>
        <s v="Harish Nair"/>
        <s v="Veer Joshi"/>
        <s v="Veena Joshi"/>
        <s v="Arya Mehta"/>
        <s v="Anmol Gupta"/>
        <s v="Devika Verma"/>
        <s v="Chhaya Bhatia"/>
        <s v="Omprakash Nair"/>
        <s v="Jaya Das"/>
        <s v="Lokesh Joshi"/>
        <s v="Sahil Bhatia"/>
        <s v="Snehal Menon"/>
        <s v="Balram Iyer"/>
        <s v="Sarita Das"/>
        <s v="Naveen Menon"/>
        <s v="Subhash Kulkarni"/>
        <s v="Madhavi Sharma"/>
        <s v="Karthikeyan Iyer"/>
        <s v="Dheeraj Kulkarni"/>
        <s v="Kavitha Joshi"/>
        <s v="Aditya Choudhury"/>
        <s v="Ramesh Kapoor"/>
        <s v="Sanjay Kapoor"/>
        <s v="Rukmini Kapoor"/>
        <s v="Monica Gupta"/>
        <s v="Charan Iyer"/>
        <s v="Saira Banu"/>
        <s v="Chetan Kapoor"/>
        <s v="Shreya Sharma"/>
        <s v="Lavanya Iyer"/>
        <s v="Alisha Sharma"/>
        <s v="Aarav Sharma"/>
        <s v="Kartik Nair"/>
        <s v="Kaviraj Iyer"/>
        <s v="Piyush Verma"/>
        <s v="Harsh Malhotra"/>
        <s v="Dinesh Kulkarni"/>
        <s v="Indira Iyer"/>
        <s v="Vidya Gupta"/>
        <s v="Swarnima Patel"/>
        <s v="Roshni Joshi"/>
        <s v="Vivek Reddy"/>
        <s v="Nandini Shetty"/>
        <s v="Jaya Rao"/>
        <s v="Ritu Malhotra"/>
        <s v="Devesh Verma"/>
        <s v="Parveen Das"/>
        <s v="Pallavi Singh"/>
        <s v="Sanchita Choudhury"/>
        <s v="Rohan Mehta"/>
        <s v="Soumya Reddy"/>
        <s v="Ajay Menon"/>
        <s v="Radha Kulkarni"/>
        <s v="Aditi Shetty"/>
        <s v="Shankar Sharma"/>
        <s v="Surinder Singh"/>
        <s v="Reema Nair"/>
        <s v="Padmini Das"/>
        <s v="Usha Joshi"/>
        <s v="Sonali Kapoor"/>
        <s v="Sita Das"/>
        <s v="Aryan Mehta"/>
        <s v="Priyadarshini Patel"/>
        <s v="Yash Verma"/>
        <s v="Vijay Sharma"/>
        <s v="Raghav Gupta"/>
        <s v="Sharmila Mehta"/>
        <s v="Irfan Khan"/>
        <s v="Deepesh Malhotra"/>
        <s v="Vishwanath Iyer"/>
        <s v="Sudha Rao"/>
        <s v="Pradyumn Nair"/>
        <s v="Jatin Kulkarni"/>
        <s v="sai agarwal"/>
        <s v="Shailesh Menon"/>
        <s v="Govind Singh"/>
        <s v="Devendra Joshi"/>
        <s v="Mitesh Das"/>
        <s v="Aaliya Khan"/>
        <s v="Sneha Mehta"/>
        <s v="Mohanlal Das"/>
        <s v="Vandana Verma"/>
        <s v="Kareem Khan"/>
        <s v="Javed Malik"/>
        <s v="Rajiv Nair"/>
        <s v="Anushree Mehta"/>
        <s v="Meera Verma"/>
        <s v="Pritam Rao"/>
        <s v="Pankaj Singh"/>
        <s v="Anushka Shetty"/>
        <s v="Praveen Mehta"/>
        <s v="Anupam Bhatia"/>
        <s v="Meenakshi Iyer"/>
        <s v="Rajeev Shetty"/>
        <s v="Kabir Iyer"/>
        <s v="Rubina Khan"/>
        <s v="Anika Choudhury"/>
        <s v="Raghunath Singh"/>
        <s v="Arun Sharma"/>
        <s v="Ananya Reddy"/>
        <s v="Parth Menon"/>
        <s v="Ananya Singh"/>
        <s v="Sushila Joshi"/>
        <s v="Zoya Mehta"/>
        <s v="Vignesh Rao"/>
        <s v="Virendra Singh"/>
        <s v="Santosh Reddy"/>
        <s v="Myra Chatterjee"/>
        <s v="Sangeeta Kulkarni"/>
        <s v="Nikhil Reddy"/>
        <s v="Ishaan Joshi"/>
        <s v="Purnima Verma"/>
        <s v="Aafreen Khan"/>
        <s v="Arya Kapoor"/>
        <s v="Chitra Kulkarni"/>
        <s v="Madhavi Joshi"/>
        <s v="Kusum Gupta"/>
        <s v="Karishma Mehta"/>
        <s v="Aarohi Reddy"/>
        <s v="Ajmal Khan"/>
        <s v="Revathi Rao"/>
        <s v="Rohit Choudhury"/>
        <s v="Kalyani Iyer"/>
        <s v="Jignesh Mehta"/>
        <s v="Devraj Kulkarni"/>
        <s v="Chaitali Verma"/>
        <s v="Amar Joshi"/>
        <s v="Shweta Verma"/>
        <s v="Simran Malhotra"/>
        <s v="Neelam Sharma"/>
        <s v="Vinod Malhotra"/>
        <s v="Mohan Iyer"/>
        <s v="Krishna Sharma"/>
        <s v="Pratap Kapoor"/>
        <s v="Chirag Patel"/>
        <s v="Rehana Khan"/>
        <s v="Ramesh Patel"/>
        <s v="Ajay Shetty"/>
        <s v="Sonal Kapoor"/>
        <s v="Rupali Singh"/>
        <s v="Manjit Nair"/>
        <s v="Aparna Shetty"/>
        <s v="Pooja Malhotra"/>
        <s v="Apeksha Joshi"/>
        <s v="Bhavna Bhatia"/>
        <s v="Tejinder Singh"/>
        <s v="Nikhilesh Rao"/>
        <s v="Deepa Rao"/>
        <s v="Ritesh Gupta"/>
        <s v="Divya Kapoor"/>
        <s v="Gayatri Patel"/>
        <s v="Tarun Bhatia"/>
        <s v="Malathi Singh"/>
        <s v="Santhosh Nair"/>
        <s v="Keshav Choudhury"/>
        <s v="Hina Khan"/>
        <s v="Uday Verma"/>
        <s v="Anant Kulkarni"/>
        <s v="Poornima Joshi"/>
        <s v="Mohit Kulkarni"/>
        <s v="Vikash Kapoor"/>
        <s v="Hemant Joshi"/>
        <s v="Savitha Gupta"/>
        <s v="Aarohi Rao"/>
        <s v="Ashutosh Gupta"/>
        <s v="Shobitha Patel"/>
        <s v="Reyansh Chopra"/>
        <s v="Supriya Menon"/>
        <s v="Sai Reddy"/>
        <s v="Suchitra Bhatia"/>
        <s v="Radha Nair"/>
        <s v="Manjula Kulkarni"/>
        <s v="Keerthi Reddy"/>
        <s v="Aparajita Das"/>
        <s v="Sandeep Joshi"/>
        <s v="Anil Verma"/>
        <s v="Ashwin Iyer"/>
        <s v="Ananya Rao"/>
        <s v="Akash Patel"/>
        <s v="Rupa Sharma"/>
        <s v="Kusum Nair"/>
        <s v="Vikram Shetty"/>
        <s v="Priya Sharma"/>
        <s v="Suraj Das"/>
        <s v="Ruhi Malhotra"/>
        <s v="Ranjana Joshi"/>
        <s v="Prerna Menon"/>
        <s v="Bhavana Patel"/>
        <s v="Shafiq Malik"/>
        <s v="Raghavendra Shetty"/>
        <s v="ananya mukherjee"/>
        <s v="Jitendra Bhatia"/>
        <s v="Rafiq Ansari"/>
        <s v="Roopa Singh"/>
        <s v="Komal Malhotra"/>
        <s v="Faisal Khan"/>
        <s v="Navya Menon"/>
        <s v="Danish Khan"/>
        <s v="Sushma Iyer"/>
        <s v="Nirmala Iyer"/>
        <s v="Mahesh Kapoor"/>
        <s v="Manish Gupta"/>
        <s v="Rahul Mehta"/>
        <s v="Sunil Patel"/>
        <s v="Rekha Iyer"/>
        <s v="Anup Shetty"/>
        <s v="Alka Joshi"/>
        <s v="Milan Patel"/>
        <s v="Pradeep Choudhury"/>
        <s v="Seher Ansari"/>
        <s v="Salman Khan"/>
        <s v="Shalini Kapoor"/>
        <s v="Leela Singh"/>
        <s v="Dev Sharma"/>
        <s v="Gauri Nair"/>
        <s v="Sneha Patel"/>
        <s v="Shaan Mehta"/>
        <s v="Balaji Rao"/>
        <s v="Arman Sharma"/>
        <s v="Fatima Banu"/>
        <s v="Harinder Malhotra"/>
        <s v="Ayesha Khan"/>
        <s v="Nandan Reddy"/>
        <s v="Gaurav Shetty"/>
        <s v="Trupti Reddy"/>
        <s v="Kajal Kapoor"/>
        <s v="Leela Bhatia"/>
        <s v="Harini Iyer"/>
        <s v="Alok Verma"/>
        <s v="Arpit Mehta"/>
        <s v="Jyoti Mehta"/>
        <s v="Nirmesh Gupta"/>
        <s v="Archana Sharma"/>
        <s v="Shyam Menon"/>
        <s v="Mridula Choudhury"/>
        <s v="Devanshi Kulkarni"/>
        <s v="Shivam Malhotra"/>
        <s v="Padma Patel"/>
        <s v="Shubham Verma"/>
        <s v="Tanishka Rao"/>
        <s v="Balaraj Menon"/>
        <s v="Sharanya Kulkarni"/>
        <s v="Gokul Iyer"/>
        <s v="Manisha Malhotra"/>
        <s v="Ritika Verma"/>
        <s v="Ishwarya Mehta"/>
        <s v="Amrita Reddy"/>
        <s v="Suresh Bhatia"/>
        <s v="Aadhya Jain"/>
        <s v="Ashok Menon"/>
        <s v="Neetu Shetty"/>
        <s v="Bhavya Kapoor"/>
        <s v="Harpal Singh"/>
        <s v="Rohit Singh"/>
        <s v="Armaan Joshi"/>
        <s v="Gayathri Kulkarni"/>
        <s v="Taslima Begum"/>
        <s v="Tanmay Kulkarni"/>
        <s v="Parvathi Iyer"/>
        <s v="Zubair Khan"/>
        <s v="Mridula Shetty"/>
        <s v="Abhishek Joshi"/>
        <s v="Krishnan Iyer"/>
        <s v="Nirmal Reddy"/>
        <s v="Charu Choudhury"/>
        <s v="Ananya Mishra"/>
        <s v="Rekha Kapoor"/>
        <s v="Simran Singh"/>
        <s v="Kamal Kapoor"/>
        <s v="Chaitanya Rao"/>
        <s v="Charulata Patel"/>
        <s v="Jeet Malhotra"/>
        <s v="Prakash Bhatia"/>
        <s v="Gopal Das"/>
        <s v="Sunil Choudhury"/>
        <s v="Sidharth Reddy"/>
        <s v="Madhuri Malhotra"/>
        <s v="Yogesh Nair"/>
        <s v="Hemlata Kapoor"/>
        <s v="Ruhan Patel"/>
        <s v="Manohar Das"/>
        <s v="Vihaan Reddy"/>
        <s v="krishna agarwal"/>
        <s v="Ranjit Joshi"/>
        <s v="Yamini Reddy"/>
        <s v="Kiran Verma"/>
        <s v="Kiran Menon"/>
        <s v="Bharat Rao"/>
        <s v="Mariam Banu"/>
        <s v="Rohan Patel"/>
        <s v="Janani Iyer"/>
        <s v="Navpreet Kaur"/>
        <s v="Yatin Verma"/>
        <s v="Arvind Reddy"/>
        <s v="Diya Gupta"/>
        <s v="Hemendra Nair"/>
        <s v="Kavitha Sharma"/>
        <s v="Gopal Joshi"/>
        <s v="Yamuna Rao"/>
        <s v="Harpreet Kaur"/>
        <s v="Shreya Choudhury"/>
        <s v="Madhura Reddy"/>
        <s v="Siddharth Rao"/>
        <s v="Laxmi Verma"/>
        <s v="Harjit Singh"/>
        <s v="Akhil Patel"/>
        <s v="Laxmi Sharma"/>
        <s v="Vaishali Nair"/>
        <s v="Tejas Sharma"/>
        <s v="Jhanvi Reddy"/>
        <s v="Anjali Mehta"/>
        <s v="Ayaan Patel"/>
        <s v="Deepika Gupta"/>
        <s v="Abid Hussain"/>
        <s v="Surya Patel"/>
        <s v="Zeenat Banu"/>
        <s v="Diya Singh"/>
        <s v="Anuradha Rao"/>
      </sharedItems>
    </cacheField>
    <cacheField name="Department" numFmtId="0">
      <sharedItems>
        <s v="Electro"/>
        <s v="Computer Science"/>
        <s v="ECE"/>
        <s v="Electronics"/>
        <s v="Mechanical Engg"/>
        <s v="Mech"/>
        <s v="CSE"/>
        <s v="CIV"/>
        <s v="ELEC"/>
        <s v="CS"/>
        <s v="ME"/>
        <s v="Civil Engg"/>
        <s v="Comp Sci"/>
        <s v="CE"/>
        <s v="Civil"/>
        <s v="Mechanical"/>
      </sharedItems>
    </cacheField>
    <cacheField name="Student_Department" numFmtId="165">
      <sharedItems>
        <s v="Electronics"/>
        <s v="Computer Science"/>
        <s v="Mechanical"/>
        <s v="Civil"/>
      </sharedItems>
    </cacheField>
    <cacheField name="Application_Date">
      <sharedItems containsDate="1" containsMixedTypes="1">
        <d v="2025-07-28T00:00:00Z"/>
        <d v="2025-09-15T00:00:00Z"/>
        <d v="2025-08-13T00:00:00Z"/>
        <d v="2025-08-24T00:00:00Z"/>
        <d v="2025-07-27T00:00:00Z"/>
        <d v="2025-09-21T00:00:00Z"/>
        <d v="2025-08-31T00:00:00Z"/>
        <d v="2025-07-17T00:00:00Z"/>
        <d v="2025-08-09T00:00:00Z"/>
        <d v="2025-09-29T00:00:00Z"/>
        <d v="2025-08-14T00:00:00Z"/>
        <d v="2025-08-18T00:00:00Z"/>
        <d v="2025-08-03T00:00:00Z"/>
        <d v="2025-09-02T00:00:00Z"/>
        <d v="2025-07-22T00:00:00Z"/>
        <d v="2025-07-16T00:00:00Z"/>
        <d v="2025-08-20T00:00:00Z"/>
        <d v="2025-07-04T00:00:00Z"/>
        <d v="2025-08-06T00:00:00Z"/>
        <d v="2025-07-29T00:00:00Z"/>
        <d v="2025-09-13T00:00:00Z"/>
        <d v="2025-08-02T00:00:00Z"/>
        <s v="29/08/25"/>
        <d v="2025-08-01T00:00:00Z"/>
        <d v="2025-08-05T00:00:00Z"/>
        <d v="2025-08-26T00:00:00Z"/>
        <d v="2025-07-31T00:00:00Z"/>
        <d v="2025-08-11T00:00:00Z"/>
        <d v="2025-08-08T00:00:00Z"/>
        <d v="2025-08-07T00:00:00Z"/>
        <d v="2025-07-18T00:00:00Z"/>
        <d v="2025-08-23T00:00:00Z"/>
        <d v="2025-06-12T00:00:00Z"/>
        <d v="2025-08-16T00:00:00Z"/>
        <d v="2025-07-30T00:00:00Z"/>
        <d v="2025-09-03T00:00:00Z"/>
        <d v="2025-08-10T00:00:00Z"/>
        <d v="2025-07-07T00:00:00Z"/>
        <d v="2025-07-25T00:00:00Z"/>
        <d v="2025-09-01T00:00:00Z"/>
        <d v="2025-09-19T00:00:00Z"/>
        <d v="2025-08-22T00:00:00Z"/>
        <d v="2025-08-12T00:00:00Z"/>
        <d v="2025-06-08T00:00:00Z"/>
        <d v="2025-07-20T00:00:00Z"/>
        <d v="2025-08-17T00:00:00Z"/>
        <d v="2025-08-21T00:00:00Z"/>
        <d v="2025-08-28T00:00:00Z"/>
        <d v="2025-06-18T00:00:00Z"/>
        <d v="2025-07-09T00:00:00Z"/>
        <d v="2025-07-05T00:00:00Z"/>
        <d v="2025-08-15T00:00:00Z"/>
        <d v="2025-09-04T00:00:00Z"/>
        <d v="2025-08-25T00:00:00Z"/>
        <d v="2025-10-01T00:00:00Z"/>
      </sharedItems>
    </cacheField>
    <cacheField name="Standarad_Date" numFmtId="164">
      <sharedItems containsSemiMixedTypes="0" containsDate="1" containsString="0">
        <d v="2025-07-28T00:00:00Z"/>
        <d v="2025-09-15T00:00:00Z"/>
        <d v="2025-08-13T00:00:00Z"/>
        <d v="2025-08-24T00:00:00Z"/>
        <d v="2025-07-27T00:00:00Z"/>
        <d v="2025-09-21T00:00:00Z"/>
        <d v="2025-08-31T00:00:00Z"/>
        <d v="2025-07-17T00:00:00Z"/>
        <d v="2025-08-09T00:00:00Z"/>
        <d v="2025-09-29T00:00:00Z"/>
        <d v="2025-08-14T00:00:00Z"/>
        <d v="2025-08-18T00:00:00Z"/>
        <d v="2025-08-03T00:00:00Z"/>
        <d v="2025-09-02T00:00:00Z"/>
        <d v="2025-07-22T00:00:00Z"/>
        <d v="2025-07-16T00:00:00Z"/>
        <d v="2025-08-20T00:00:00Z"/>
        <d v="2025-07-04T00:00:00Z"/>
        <d v="2025-08-06T00:00:00Z"/>
        <d v="2025-07-29T00:00:00Z"/>
        <d v="2025-09-13T00:00:00Z"/>
        <d v="2025-08-02T00:00:00Z"/>
        <d v="2025-08-29T00:00:00Z"/>
        <d v="2025-08-01T00:00:00Z"/>
        <d v="2025-08-05T00:00:00Z"/>
        <d v="2025-08-26T00:00:00Z"/>
        <d v="2025-07-31T00:00:00Z"/>
        <d v="2025-08-11T00:00:00Z"/>
        <d v="2025-08-08T00:00:00Z"/>
        <d v="2025-08-07T00:00:00Z"/>
        <d v="2025-07-18T00:00:00Z"/>
        <d v="2025-08-23T00:00:00Z"/>
        <d v="2025-06-12T00:00:00Z"/>
        <d v="2025-08-16T00:00:00Z"/>
        <d v="2025-07-30T00:00:00Z"/>
        <d v="2025-09-03T00:00:00Z"/>
        <d v="2025-08-10T00:00:00Z"/>
        <d v="2025-07-07T00:00:00Z"/>
        <d v="2025-07-25T00:00:00Z"/>
        <d v="2025-09-01T00:00:00Z"/>
        <d v="2025-09-19T00:00:00Z"/>
        <d v="2025-08-22T00:00:00Z"/>
        <d v="2025-08-12T00:00:00Z"/>
        <d v="2025-06-08T00:00:00Z"/>
        <d v="2025-07-20T00:00:00Z"/>
        <d v="2025-08-17T00:00:00Z"/>
        <d v="2025-08-21T00:00:00Z"/>
        <d v="2025-08-28T00:00:00Z"/>
        <d v="2025-06-18T00:00:00Z"/>
        <d v="2025-07-09T00:00:00Z"/>
        <d v="2025-07-05T00:00:00Z"/>
        <d v="2025-08-15T00:00:00Z"/>
        <d v="2025-09-04T00:00:00Z"/>
        <d v="2025-08-25T00:00:00Z"/>
        <d v="2025-10-01T00:00:00Z"/>
      </sharedItems>
    </cacheField>
    <cacheField name="Test_1_Score" numFmtId="0">
      <sharedItems containsSemiMixedTypes="0" containsString="0" containsNumber="1" containsInteger="1">
        <n v="86.0"/>
        <n v="97.0"/>
        <n v="78.0"/>
        <n v="80.0"/>
        <n v="68.0"/>
        <n v="92.0"/>
        <n v="77.0"/>
        <n v="88.0"/>
        <n v="82.0"/>
        <n v="61.0"/>
        <n v="79.0"/>
        <n v="72.0"/>
        <n v="87.0"/>
        <n v="94.0"/>
        <n v="64.0"/>
        <n v="93.0"/>
        <n v="73.0"/>
        <n v="69.0"/>
        <n v="98.0"/>
        <n v="95.0"/>
        <n v="63.0"/>
        <n v="66.0"/>
        <n v="70.0"/>
        <n v="76.0"/>
        <n v="85.0"/>
        <n v="62.0"/>
        <n v="90.0"/>
        <n v="83.0"/>
        <n v="55.0"/>
        <n v="57.0"/>
        <n v="59.0"/>
        <n v="67.0"/>
        <n v="71.0"/>
        <n v="91.0"/>
        <n v="58.0"/>
        <n v="84.0"/>
        <n v="74.0"/>
        <n v="60.0"/>
        <n v="75.0"/>
        <n v="65.0"/>
        <n v="96.0"/>
        <n v="56.0"/>
        <n v="89.0"/>
        <n v="81.0"/>
      </sharedItems>
    </cacheField>
    <cacheField name="Test_2_Score" numFmtId="0">
      <sharedItems containsSemiMixedTypes="0" containsString="0" containsNumber="1" containsInteger="1">
        <n v="96.0"/>
        <n v="81.0"/>
        <n v="91.0"/>
        <n v="87.0"/>
        <n v="90.0"/>
        <n v="93.0"/>
        <n v="92.0"/>
        <n v="80.0"/>
        <n v="95.0"/>
        <n v="88.0"/>
        <n v="77.0"/>
        <n v="86.0"/>
        <n v="97.0"/>
        <n v="83.0"/>
        <n v="79.0"/>
        <n v="85.0"/>
        <n v="66.0"/>
        <n v="78.0"/>
        <n v="94.0"/>
        <n v="69.0"/>
        <n v="84.0"/>
        <n v="73.0"/>
        <n v="70.0"/>
        <n v="68.0"/>
        <n v="75.0"/>
        <n v="62.0"/>
        <n v="71.0"/>
        <n v="63.0"/>
        <n v="76.0"/>
        <n v="65.0"/>
        <n v="57.0"/>
        <n v="89.0"/>
        <n v="64.0"/>
        <n v="61.0"/>
        <n v="82.0"/>
        <n v="72.0"/>
        <n v="56.0"/>
        <n v="60.0"/>
        <n v="67.0"/>
        <n v="74.0"/>
        <n v="58.0"/>
        <n v="99.0"/>
        <n v="98.0"/>
        <n v="59.0"/>
        <n v="55.0"/>
      </sharedItems>
    </cacheField>
    <cacheField name="Test_3_Score" numFmtId="0">
      <sharedItems containsSemiMixedTypes="0" containsString="0" containsNumber="1" containsInteger="1">
        <n v="92.0"/>
        <n v="98.0"/>
        <n v="96.0"/>
        <n v="97.0"/>
        <n v="88.0"/>
        <n v="86.0"/>
        <n v="91.0"/>
        <n v="95.0"/>
        <n v="82.0"/>
        <n v="85.0"/>
        <n v="83.0"/>
        <n v="93.0"/>
        <n v="78.0"/>
        <n v="87.0"/>
        <n v="94.0"/>
        <n v="80.0"/>
        <n v="75.0"/>
        <n v="84.0"/>
        <n v="90.0"/>
        <n v="81.0"/>
        <n v="79.0"/>
        <n v="77.0"/>
        <n v="71.0"/>
        <n v="64.0"/>
        <n v="68.0"/>
        <n v="69.0"/>
        <n v="89.0"/>
        <n v="67.0"/>
        <n v="62.0"/>
        <n v="59.0"/>
        <n v="66.0"/>
        <n v="55.0"/>
        <n v="73.0"/>
        <n v="65.0"/>
        <n v="63.0"/>
        <n v="58.0"/>
        <n v="57.0"/>
        <n v="70.0"/>
        <n v="72.0"/>
        <n v="56.0"/>
        <n v="60.0"/>
        <n v="99.0"/>
        <n v="100.0"/>
        <n v="74.0"/>
        <n v="76.0"/>
        <n v="61.0"/>
      </sharedItems>
    </cacheField>
    <cacheField name="Weighted_Score" numFmtId="4">
      <sharedItems containsSemiMixedTypes="0" containsString="0" containsNumber="1">
        <n v="92.5"/>
        <n v="91.9"/>
        <n v="91.55"/>
        <n v="91.45"/>
        <n v="90.69999999999999"/>
        <n v="90.65"/>
        <n v="90.1"/>
        <n v="89.39999999999999"/>
        <n v="88.8"/>
        <n v="88.55"/>
        <n v="87.9"/>
        <n v="87.8"/>
        <n v="87.6"/>
        <n v="87.5"/>
        <n v="87.3"/>
        <n v="87.19999999999999"/>
        <n v="86.9"/>
        <n v="86.7"/>
        <n v="86.69999999999999"/>
        <n v="86.55"/>
        <n v="86.39999999999999"/>
        <n v="86.25"/>
        <n v="85.9"/>
        <n v="85.69999999999999"/>
        <n v="85.3"/>
        <n v="85.15"/>
        <n v="84.69999999999999"/>
        <n v="84.4"/>
        <n v="84.35"/>
        <n v="84.25"/>
        <n v="84.05"/>
        <n v="83.94999999999999"/>
        <n v="83.65"/>
        <n v="83.5"/>
        <n v="83.05"/>
        <n v="82.94999999999999"/>
        <n v="82.9"/>
        <n v="82.1"/>
        <n v="82.0"/>
        <n v="81.85"/>
        <n v="81.5"/>
        <n v="81.2"/>
        <n v="81.19999999999999"/>
        <n v="79.1"/>
        <n v="78.9"/>
        <n v="78.8"/>
        <n v="78.65"/>
        <n v="78.3"/>
        <n v="78.1"/>
        <n v="78.0"/>
        <n v="77.6"/>
        <n v="77.55"/>
        <n v="77.4"/>
        <n v="77.0"/>
        <n v="76.4"/>
        <n v="76.3"/>
        <n v="75.89999999999999"/>
        <n v="75.8"/>
        <n v="75.55"/>
        <n v="75.0"/>
        <n v="74.75"/>
        <n v="74.69999999999999"/>
        <n v="74.44999999999999"/>
        <n v="74.25"/>
        <n v="74.15"/>
        <n v="74.05"/>
        <n v="73.75"/>
        <n v="73.6"/>
        <n v="73.55"/>
        <n v="73.0"/>
        <n v="72.9"/>
        <n v="72.8"/>
        <n v="72.69999999999999"/>
        <n v="72.5"/>
        <n v="72.44999999999999"/>
        <n v="72.3"/>
        <n v="72.0"/>
        <n v="71.3"/>
        <n v="70.9"/>
        <n v="70.7"/>
        <n v="70.69999999999999"/>
        <n v="70.5"/>
        <n v="70.4"/>
        <n v="70.3"/>
        <n v="70.19999999999999"/>
        <n v="69.9"/>
        <n v="69.7"/>
        <n v="69.4"/>
        <n v="68.9"/>
        <n v="68.55"/>
        <n v="68.25"/>
        <n v="68.05"/>
        <n v="67.94999999999999"/>
        <n v="67.9"/>
        <n v="67.5"/>
        <n v="67.45"/>
        <n v="67.15"/>
        <n v="67.0"/>
        <n v="66.9"/>
        <n v="66.3"/>
        <n v="64.94999999999999"/>
        <n v="61.849999999999994"/>
        <n v="61.5"/>
        <n v="94.25"/>
        <n v="93.6"/>
        <n v="92.85"/>
        <n v="91.19999999999999"/>
        <n v="91.0"/>
        <n v="90.85"/>
        <n v="90.64999999999999"/>
        <n v="90.4"/>
        <n v="89.4"/>
        <n v="88.85"/>
        <n v="88.64999999999999"/>
        <n v="88.4"/>
        <n v="88.25"/>
        <n v="87.69999999999999"/>
        <n v="87.65"/>
        <n v="86.65"/>
        <n v="86.5"/>
        <n v="86.15"/>
        <n v="86.1"/>
        <n v="86.05"/>
        <n v="85.85"/>
        <n v="85.1"/>
        <n v="84.7"/>
        <n v="84.44999999999999"/>
        <n v="83.8"/>
        <n v="83.4"/>
        <n v="83.15"/>
        <n v="82.95"/>
        <n v="82.69999999999999"/>
        <n v="82.6"/>
        <n v="82.35"/>
        <n v="82.25"/>
        <n v="81.4"/>
        <n v="81.3"/>
        <n v="81.0"/>
        <n v="80.85"/>
        <n v="80.8"/>
        <n v="80.65"/>
        <n v="80.55"/>
        <n v="80.4"/>
        <n v="80.35"/>
        <n v="80.19999999999999"/>
        <n v="80.1"/>
        <n v="80.0"/>
        <n v="79.95"/>
        <n v="79.8"/>
        <n v="79.75"/>
        <n v="79.6"/>
        <n v="79.5"/>
        <n v="79.4"/>
        <n v="79.05"/>
        <n v="79.0"/>
        <n v="78.6"/>
        <n v="78.4"/>
        <n v="77.94999999999999"/>
        <n v="77.9"/>
        <n v="77.35"/>
        <n v="76.8"/>
        <n v="76.7"/>
        <n v="76.64999999999999"/>
        <n v="76.55"/>
        <n v="76.05"/>
        <n v="75.94999999999999"/>
        <n v="75.9"/>
        <n v="75.6"/>
        <n v="75.44999999999999"/>
        <n v="75.35"/>
        <n v="74.95"/>
        <n v="74.85"/>
        <n v="74.8"/>
        <n v="74.65"/>
        <n v="74.55"/>
        <n v="74.5"/>
        <n v="74.35"/>
        <n v="73.9"/>
        <n v="73.8"/>
        <n v="73.69999999999999"/>
        <n v="73.64999999999999"/>
        <n v="73.5"/>
        <n v="73.3"/>
        <n v="73.25"/>
        <n v="73.1"/>
        <n v="72.6"/>
        <n v="72.25"/>
        <n v="72.15"/>
        <n v="71.65"/>
        <n v="71.4"/>
        <n v="71.15"/>
        <n v="71.05"/>
        <n v="70.8"/>
        <n v="70.0"/>
        <n v="69.75"/>
        <n v="69.15"/>
        <n v="68.7"/>
        <n v="68.65"/>
        <n v="68.6"/>
        <n v="68.4"/>
        <n v="67.8"/>
        <n v="67.55"/>
        <n v="67.25"/>
        <n v="66.69999999999999"/>
        <n v="66.15"/>
        <n v="65.9"/>
        <n v="65.4"/>
        <n v="65.35"/>
        <n v="65.1"/>
        <n v="64.85"/>
        <n v="64.55"/>
        <n v="64.25"/>
        <n v="63.85"/>
        <n v="63.7"/>
        <n v="63.65"/>
        <n v="63.4"/>
        <n v="63.349999999999994"/>
        <n v="63.3"/>
        <n v="61.75"/>
        <n v="97.85"/>
        <n v="94.89999999999999"/>
        <n v="93.25"/>
        <n v="93.1"/>
        <n v="92.25"/>
        <n v="90.15"/>
        <n v="89.05"/>
        <n v="88.94999999999999"/>
        <n v="88.75"/>
        <n v="87.94999999999999"/>
        <n v="87.25"/>
        <n v="86.8"/>
        <n v="86.6"/>
        <n v="85.65"/>
        <n v="85.44999999999999"/>
        <n v="85.39999999999999"/>
        <n v="84.65"/>
        <n v="84.5"/>
        <n v="84.19999999999999"/>
        <n v="83.55"/>
        <n v="83.0"/>
        <n v="82.85"/>
        <n v="82.55"/>
        <n v="81.8"/>
        <n v="81.75"/>
        <n v="81.69999999999999"/>
        <n v="81.65"/>
        <n v="81.25"/>
        <n v="80.7"/>
        <n v="80.6"/>
        <n v="80.3"/>
        <n v="80.25"/>
        <n v="79.44999999999999"/>
        <n v="79.35"/>
        <n v="79.3"/>
        <n v="78.85"/>
        <n v="78.19999999999999"/>
        <n v="78.05"/>
        <n v="77.65"/>
        <n v="77.44999999999999"/>
        <n v="77.3"/>
        <n v="77.2"/>
        <n v="77.19999999999999"/>
        <n v="77.1"/>
        <n v="77.05"/>
        <n v="76.95"/>
        <n v="76.85"/>
        <n v="76.5"/>
        <n v="76.15"/>
        <n v="76.0"/>
        <n v="75.25"/>
        <n v="75.1"/>
        <n v="74.4"/>
        <n v="74.1"/>
        <n v="73.19999999999999"/>
        <n v="72.85"/>
        <n v="71.69999999999999"/>
        <n v="71.6"/>
        <n v="71.35"/>
        <n v="70.35"/>
        <n v="70.1"/>
        <n v="70.05"/>
        <n v="69.8"/>
        <n v="69.65"/>
        <n v="69.25"/>
        <n v="69.1"/>
        <n v="68.85"/>
        <n v="67.7"/>
        <n v="67.1"/>
        <n v="66.95"/>
        <n v="66.7"/>
        <n v="65.15"/>
        <n v="64.4"/>
        <n v="62.75"/>
        <n v="62.3"/>
        <n v="62.2"/>
        <n v="62.05"/>
        <n v="61.55"/>
        <n v="93.15"/>
        <n v="92.55"/>
        <n v="91.94999999999999"/>
        <n v="91.35"/>
        <n v="90.5"/>
        <n v="90.0"/>
        <n v="89.75"/>
        <n v="89.6"/>
        <n v="89.19999999999999"/>
        <n v="87.4"/>
        <n v="87.05"/>
        <n v="87.0"/>
        <n v="86.4"/>
        <n v="85.95"/>
        <n v="85.6"/>
        <n v="85.55"/>
        <n v="85.5"/>
        <n v="85.25"/>
        <n v="84.75"/>
        <n v="84.55"/>
        <n v="84.3"/>
        <n v="84.0"/>
        <n v="83.1"/>
        <n v="82.65"/>
        <n v="82.45"/>
        <n v="82.3"/>
        <n v="82.05"/>
        <n v="81.45"/>
        <n v="81.44999999999999"/>
        <n v="81.15"/>
        <n v="80.9"/>
        <n v="79.45"/>
        <n v="79.15"/>
        <n v="78.44999999999999"/>
        <n v="77.85"/>
        <n v="77.75"/>
        <n v="77.69999999999999"/>
        <n v="76.9"/>
        <n v="76.75"/>
        <n v="76.6"/>
        <n v="75.85"/>
      </sharedItems>
    </cacheField>
    <cacheField name="Attendance_%" numFmtId="10">
      <sharedItems containsSemiMixedTypes="0" containsString="0" containsNumber="1">
        <n v="0.95"/>
        <n v="0.86"/>
        <n v="0.81"/>
        <n v="0.94"/>
        <n v="0.78"/>
        <n v="0.84"/>
        <n v="0.87"/>
        <n v="0.9"/>
        <n v="0.79"/>
        <n v="0.85"/>
        <n v="0.89"/>
        <n v="0.72"/>
        <n v="0.76"/>
        <n v="0.8"/>
        <n v="0.82"/>
        <n v="0.91"/>
        <n v="0.83"/>
        <n v="0.92"/>
        <n v="0.93"/>
        <n v="0.77"/>
        <n v="0.88"/>
        <n v="0.75"/>
        <n v="0.61"/>
        <n v="0.66"/>
        <n v="0.99"/>
        <n v="0.68"/>
      </sharedItems>
    </cacheField>
    <cacheField name="Assignment_Completion_%" numFmtId="10">
      <sharedItems containsSemiMixedTypes="0" containsString="0" containsNumber="1">
        <n v="0.97"/>
        <n v="0.85"/>
        <n v="0.73"/>
        <n v="0.93"/>
        <n v="0.96"/>
        <n v="0.9"/>
        <n v="0.82"/>
        <n v="0.8"/>
        <n v="0.83"/>
        <n v="1.0"/>
        <n v="0.84"/>
        <n v="0.99"/>
        <n v="0.76"/>
        <n v="0.77"/>
        <n v="0.89"/>
        <n v="0.78"/>
        <n v="0.81"/>
        <n v="0.94"/>
        <n v="0.86"/>
        <n v="0.91"/>
        <n v="0.79"/>
        <n v="0.98"/>
        <n v="0.75"/>
        <n v="0.95"/>
        <n v="0.92"/>
        <n v="0.88"/>
        <n v="69.0"/>
        <n v="0.87"/>
        <n v="65.0"/>
      </sharedItems>
    </cacheField>
    <cacheField name="Standard_Assignment_Completion_%" numFmtId="10">
      <sharedItems containsSemiMixedTypes="0" containsString="0" containsNumber="1">
        <n v="0.97"/>
        <n v="0.85"/>
        <n v="0.73"/>
        <n v="0.93"/>
        <n v="0.96"/>
        <n v="0.9"/>
        <n v="0.82"/>
        <n v="0.8"/>
        <n v="0.83"/>
        <n v="1.0"/>
        <n v="0.84"/>
        <n v="0.99"/>
        <n v="0.76"/>
        <n v="0.77"/>
        <n v="0.89"/>
        <n v="0.78"/>
        <n v="0.81"/>
        <n v="0.94"/>
        <n v="0.86"/>
        <n v="0.91"/>
        <n v="0.79"/>
        <n v="0.98"/>
        <n v="0.75"/>
        <n v="0.95"/>
        <n v="0.92"/>
        <n v="0.88"/>
        <n v="0.69"/>
        <n v="0.87"/>
        <n v="0.65"/>
      </sharedItems>
    </cacheField>
    <cacheField name="Internship_Pref" numFmtId="0">
      <sharedItems>
        <s v="Company A"/>
        <s v="Company B"/>
        <s v="Company C"/>
        <s v="Company D"/>
      </sharedItems>
    </cacheField>
    <cacheField name="Required_Score" numFmtId="0">
      <sharedItems containsSemiMixedTypes="0" containsString="0" containsNumber="1" containsInteger="1">
        <n v="65.0"/>
        <n v="70.0"/>
        <n v="60.0"/>
        <n v="75.0"/>
      </sharedItems>
    </cacheField>
    <cacheField name="Required_Attendance" numFmtId="0">
      <sharedItems containsSemiMixedTypes="0" containsString="0" containsNumber="1" containsInteger="1">
        <n v="75.0"/>
        <n v="80.0"/>
        <n v="70.0"/>
        <n v="85.0"/>
      </sharedItems>
    </cacheField>
    <cacheField name="Eligibility" numFmtId="0">
      <sharedItems>
        <s v="Eligible"/>
        <s v="Not Eligible"/>
      </sharedItems>
    </cacheField>
    <cacheField name="Allocation_Status" numFmtId="0">
      <sharedItems containsBlank="1">
        <s v="yes"/>
        <m/>
        <s v="n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R1:U7" firstHeaderRow="0" firstDataRow="1" firstDataCol="1"/>
  <pivotFields>
    <pivotField name="Stud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t="default"/>
      </items>
    </pivotField>
    <pivotField name="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udent_Department" compact="0" numFmtId="165" outline="0" multipleItemSelectionAllowed="1" showAll="0">
      <items>
        <item x="0"/>
        <item x="1"/>
        <item x="2"/>
        <item x="3"/>
        <item t="default"/>
      </items>
    </pivotField>
    <pivotField name="Application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Standara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est_1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Test_2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est_3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Weighted_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Attendance_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ssignment_Completion_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tandard_Assignment_Completion_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Internship_Pref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Required_Score" compact="0" outline="0" multipleItemSelectionAllowed="1" showAll="0">
      <items>
        <item x="0"/>
        <item x="1"/>
        <item x="2"/>
        <item x="3"/>
        <item t="default"/>
      </items>
    </pivotField>
    <pivotField name="Required_Attendance" compact="0" outline="0" multipleItemSelectionAllowed="1" showAll="0">
      <items>
        <item x="0"/>
        <item x="1"/>
        <item x="2"/>
        <item x="3"/>
        <item t="default"/>
      </items>
    </pivotField>
    <pivotField name="Eligibility" axis="axisCol" compact="0" outline="0" multipleItemSelectionAllowed="1" showAll="0" sortType="ascending">
      <items>
        <item x="0"/>
        <item x="1"/>
        <item t="default"/>
      </items>
    </pivotField>
    <pivotField name="Allocation_Status" compact="0" outline="0" multipleItemSelectionAllowed="1" showAll="0">
      <items>
        <item x="0"/>
        <item x="1"/>
        <item x="2"/>
        <item t="default"/>
      </items>
    </pivotField>
  </pivotFields>
  <rowFields>
    <field x="13"/>
  </rowFields>
  <colFields>
    <field x="16"/>
  </colFields>
  <dataFields>
    <dataField name="COUNTA of Name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8.38"/>
    <col customWidth="1" min="3" max="3" width="15.38"/>
    <col customWidth="1" min="4" max="5" width="17.5"/>
    <col customWidth="1" min="6" max="9" width="15.0"/>
    <col customWidth="1" min="10" max="11" width="15.38"/>
    <col customWidth="1" min="12" max="12" width="24.88"/>
    <col customWidth="1" min="13" max="14" width="16.13"/>
    <col customWidth="1" min="15" max="15" width="16.25"/>
    <col customWidth="1" min="16" max="16" width="18.0"/>
    <col customWidth="1" min="17" max="17" width="24.88"/>
    <col customWidth="1" min="18" max="18" width="18.7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1" t="s">
        <v>11</v>
      </c>
      <c r="M1" s="5" t="s">
        <v>12</v>
      </c>
      <c r="N1" s="1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ht="15.75" customHeight="1">
      <c r="A2" s="8" t="s">
        <v>18</v>
      </c>
      <c r="B2" s="8" t="s">
        <v>19</v>
      </c>
      <c r="C2" s="8" t="s">
        <v>20</v>
      </c>
      <c r="D2" s="9" t="str">
        <f>vlookup(C2,Dept_Lookup!A$1:B$17,2,false)</f>
        <v>Electronics</v>
      </c>
      <c r="E2" s="9">
        <v>45866.0</v>
      </c>
      <c r="F2" s="10">
        <f t="shared" ref="F2:F387" si="1">IFERROR(DATEVALUE(E2),DATE(RIGHT(E2,2)+2000,MID(E2,4,2),LEFT(E2,2)))</f>
        <v>45866</v>
      </c>
      <c r="G2" s="8">
        <v>86.0</v>
      </c>
      <c r="H2" s="8">
        <v>96.0</v>
      </c>
      <c r="I2" s="8">
        <v>92.0</v>
      </c>
      <c r="J2" s="11">
        <f>G2*Scoring_Weights!B$2+H2*Scoring_Weights!B$3+I2*Scoring_Weights!B$4</f>
        <v>92.5</v>
      </c>
      <c r="K2" s="12">
        <v>0.95</v>
      </c>
      <c r="L2" s="12">
        <v>0.97</v>
      </c>
      <c r="M2" s="12">
        <f t="shared" ref="M2:M511" si="2">if(L2&gt;1,L2/100,L2)</f>
        <v>0.97</v>
      </c>
      <c r="N2" s="8" t="s">
        <v>21</v>
      </c>
      <c r="O2" s="13">
        <f>vlookup(N2,Interview_Slots!$A$1:$D$5,3,false)</f>
        <v>65</v>
      </c>
      <c r="P2" s="13">
        <f>vlookup(N2,Interview_Slots!$A$1:$D$5,4,false)</f>
        <v>75</v>
      </c>
      <c r="Q2" s="13" t="str">
        <f t="shared" ref="Q2:Q511" si="3">IF(AND(J2&gt;=O2,K2&gt;=P2/100),"Eligible","Not Eligible")</f>
        <v>Eligible</v>
      </c>
      <c r="R2" s="7" t="s">
        <v>22</v>
      </c>
    </row>
    <row r="3" ht="15.75" customHeight="1">
      <c r="A3" s="8" t="s">
        <v>23</v>
      </c>
      <c r="B3" s="8" t="s">
        <v>24</v>
      </c>
      <c r="C3" s="8" t="s">
        <v>25</v>
      </c>
      <c r="D3" s="9" t="str">
        <f>vlookup(C3,Dept_Lookup!A$1:B$17,2,false)</f>
        <v>Computer Science</v>
      </c>
      <c r="E3" s="9">
        <v>45866.0</v>
      </c>
      <c r="F3" s="10">
        <f t="shared" si="1"/>
        <v>45866</v>
      </c>
      <c r="G3" s="8">
        <v>97.0</v>
      </c>
      <c r="H3" s="8">
        <v>81.0</v>
      </c>
      <c r="I3" s="8">
        <v>98.0</v>
      </c>
      <c r="J3" s="11">
        <f>G3*Scoring_Weights!B$2+H3*Scoring_Weights!B$3+I3*Scoring_Weights!B$4</f>
        <v>91.9</v>
      </c>
      <c r="K3" s="12">
        <v>0.86</v>
      </c>
      <c r="L3" s="8">
        <v>0.85</v>
      </c>
      <c r="M3" s="12">
        <f t="shared" si="2"/>
        <v>0.85</v>
      </c>
      <c r="N3" s="8" t="s">
        <v>21</v>
      </c>
      <c r="O3" s="13">
        <f>vlookup(N3,Interview_Slots!$A$1:$D$5,3,false)</f>
        <v>65</v>
      </c>
      <c r="P3" s="13">
        <f>vlookup(N3,Interview_Slots!$A$1:$D$5,4,false)</f>
        <v>75</v>
      </c>
      <c r="Q3" s="13" t="str">
        <f t="shared" si="3"/>
        <v>Eligible</v>
      </c>
      <c r="R3" s="7" t="s">
        <v>22</v>
      </c>
    </row>
    <row r="4" ht="15.75" customHeight="1">
      <c r="A4" s="8" t="s">
        <v>26</v>
      </c>
      <c r="B4" s="8" t="s">
        <v>27</v>
      </c>
      <c r="C4" s="8" t="s">
        <v>28</v>
      </c>
      <c r="D4" s="9" t="str">
        <f>vlookup(C4,Dept_Lookup!A$1:B$17,2,false)</f>
        <v>Electronics</v>
      </c>
      <c r="E4" s="14">
        <v>45915.0</v>
      </c>
      <c r="F4" s="10">
        <f t="shared" si="1"/>
        <v>45915</v>
      </c>
      <c r="G4" s="8">
        <v>78.0</v>
      </c>
      <c r="H4" s="8">
        <v>91.0</v>
      </c>
      <c r="I4" s="8">
        <v>96.0</v>
      </c>
      <c r="J4" s="11">
        <f>G4*Scoring_Weights!B$2+H4*Scoring_Weights!B$3+I4*Scoring_Weights!B$4</f>
        <v>91.55</v>
      </c>
      <c r="K4" s="12">
        <v>0.81</v>
      </c>
      <c r="L4" s="15">
        <v>0.73</v>
      </c>
      <c r="M4" s="12">
        <f t="shared" si="2"/>
        <v>0.73</v>
      </c>
      <c r="N4" s="8" t="s">
        <v>21</v>
      </c>
      <c r="O4" s="13">
        <f>vlookup(N4,Interview_Slots!$A$1:$D$5,3,false)</f>
        <v>65</v>
      </c>
      <c r="P4" s="13">
        <f>vlookup(N4,Interview_Slots!$A$1:$D$5,4,false)</f>
        <v>75</v>
      </c>
      <c r="Q4" s="13" t="str">
        <f t="shared" si="3"/>
        <v>Eligible</v>
      </c>
      <c r="R4" s="7" t="s">
        <v>22</v>
      </c>
    </row>
    <row r="5" ht="15.75" customHeight="1">
      <c r="A5" s="8" t="s">
        <v>29</v>
      </c>
      <c r="B5" s="8" t="s">
        <v>30</v>
      </c>
      <c r="C5" s="8" t="s">
        <v>28</v>
      </c>
      <c r="D5" s="9" t="str">
        <f>vlookup(C5,Dept_Lookup!A$1:B$17,2,false)</f>
        <v>Electronics</v>
      </c>
      <c r="E5" s="14">
        <v>45882.0</v>
      </c>
      <c r="F5" s="10">
        <f t="shared" si="1"/>
        <v>45882</v>
      </c>
      <c r="G5" s="8">
        <v>80.0</v>
      </c>
      <c r="H5" s="8">
        <v>87.0</v>
      </c>
      <c r="I5" s="8">
        <v>98.0</v>
      </c>
      <c r="J5" s="11">
        <f>G5*Scoring_Weights!B$2+H5*Scoring_Weights!B$3+I5*Scoring_Weights!B$4</f>
        <v>91.45</v>
      </c>
      <c r="K5" s="12">
        <v>0.94</v>
      </c>
      <c r="L5" s="8">
        <v>0.93</v>
      </c>
      <c r="M5" s="12">
        <f t="shared" si="2"/>
        <v>0.93</v>
      </c>
      <c r="N5" s="8" t="s">
        <v>21</v>
      </c>
      <c r="O5" s="13">
        <f>vlookup(N5,Interview_Slots!$A$1:$D$5,3,false)</f>
        <v>65</v>
      </c>
      <c r="P5" s="13">
        <f>vlookup(N5,Interview_Slots!$A$1:$D$5,4,false)</f>
        <v>75</v>
      </c>
      <c r="Q5" s="13" t="str">
        <f t="shared" si="3"/>
        <v>Eligible</v>
      </c>
      <c r="R5" s="7" t="s">
        <v>22</v>
      </c>
    </row>
    <row r="6" ht="15.75" customHeight="1">
      <c r="A6" s="8" t="s">
        <v>31</v>
      </c>
      <c r="B6" s="8" t="s">
        <v>32</v>
      </c>
      <c r="C6" s="8" t="s">
        <v>25</v>
      </c>
      <c r="D6" s="9" t="str">
        <f>vlookup(C6,Dept_Lookup!A$1:B$17,2,false)</f>
        <v>Computer Science</v>
      </c>
      <c r="E6" s="9">
        <v>45893.0</v>
      </c>
      <c r="F6" s="10">
        <f t="shared" si="1"/>
        <v>45893</v>
      </c>
      <c r="G6" s="8">
        <v>80.0</v>
      </c>
      <c r="H6" s="8">
        <v>87.0</v>
      </c>
      <c r="I6" s="8">
        <v>98.0</v>
      </c>
      <c r="J6" s="11">
        <f>G6*Scoring_Weights!B$2+H6*Scoring_Weights!B$3+I6*Scoring_Weights!B$4</f>
        <v>91.45</v>
      </c>
      <c r="K6" s="12">
        <v>0.78</v>
      </c>
      <c r="L6" s="8">
        <v>0.96</v>
      </c>
      <c r="M6" s="12">
        <f t="shared" si="2"/>
        <v>0.96</v>
      </c>
      <c r="N6" s="8" t="s">
        <v>21</v>
      </c>
      <c r="O6" s="13">
        <f>vlookup(N6,Interview_Slots!$A$1:$D$5,3,false)</f>
        <v>65</v>
      </c>
      <c r="P6" s="13">
        <f>vlookup(N6,Interview_Slots!$A$1:$D$5,4,false)</f>
        <v>75</v>
      </c>
      <c r="Q6" s="13" t="str">
        <f t="shared" si="3"/>
        <v>Eligible</v>
      </c>
      <c r="R6" s="7" t="s">
        <v>22</v>
      </c>
    </row>
    <row r="7" ht="15.75" customHeight="1">
      <c r="A7" s="8" t="s">
        <v>33</v>
      </c>
      <c r="B7" s="8" t="s">
        <v>34</v>
      </c>
      <c r="C7" s="8" t="s">
        <v>35</v>
      </c>
      <c r="D7" s="9" t="str">
        <f>vlookup(C7,Dept_Lookup!A$1:B$17,2,false)</f>
        <v>Electronics</v>
      </c>
      <c r="E7" s="14">
        <v>45865.0</v>
      </c>
      <c r="F7" s="10">
        <f t="shared" si="1"/>
        <v>45865</v>
      </c>
      <c r="G7" s="8">
        <v>68.0</v>
      </c>
      <c r="H7" s="8">
        <v>90.0</v>
      </c>
      <c r="I7" s="8">
        <v>98.0</v>
      </c>
      <c r="J7" s="11">
        <f>G7*Scoring_Weights!B$2+H7*Scoring_Weights!B$3+I7*Scoring_Weights!B$4</f>
        <v>90.7</v>
      </c>
      <c r="K7" s="12">
        <v>0.84</v>
      </c>
      <c r="L7" s="12">
        <v>0.9</v>
      </c>
      <c r="M7" s="12">
        <f t="shared" si="2"/>
        <v>0.9</v>
      </c>
      <c r="N7" s="8" t="s">
        <v>21</v>
      </c>
      <c r="O7" s="13">
        <f>vlookup(N7,Interview_Slots!$A$1:$D$5,3,false)</f>
        <v>65</v>
      </c>
      <c r="P7" s="13">
        <f>vlookup(N7,Interview_Slots!$A$1:$D$5,4,false)</f>
        <v>75</v>
      </c>
      <c r="Q7" s="13" t="str">
        <f t="shared" si="3"/>
        <v>Eligible</v>
      </c>
      <c r="R7" s="7" t="s">
        <v>22</v>
      </c>
    </row>
    <row r="8" ht="15.75" customHeight="1">
      <c r="A8" s="8" t="s">
        <v>36</v>
      </c>
      <c r="B8" s="8" t="s">
        <v>37</v>
      </c>
      <c r="C8" s="8" t="s">
        <v>38</v>
      </c>
      <c r="D8" s="9" t="str">
        <f>vlookup(C8,Dept_Lookup!A$1:B$17,2,false)</f>
        <v>Mechanical</v>
      </c>
      <c r="E8" s="14">
        <v>45921.0</v>
      </c>
      <c r="F8" s="10">
        <f t="shared" si="1"/>
        <v>45921</v>
      </c>
      <c r="G8" s="8">
        <v>92.0</v>
      </c>
      <c r="H8" s="8">
        <v>81.0</v>
      </c>
      <c r="I8" s="8">
        <v>97.0</v>
      </c>
      <c r="J8" s="11">
        <f>G8*Scoring_Weights!B$2+H8*Scoring_Weights!B$3+I8*Scoring_Weights!B$4</f>
        <v>90.65</v>
      </c>
      <c r="K8" s="12">
        <v>0.84</v>
      </c>
      <c r="L8" s="12">
        <v>0.82</v>
      </c>
      <c r="M8" s="12">
        <f t="shared" si="2"/>
        <v>0.82</v>
      </c>
      <c r="N8" s="8" t="s">
        <v>21</v>
      </c>
      <c r="O8" s="13">
        <f>vlookup(N8,Interview_Slots!$A$1:$D$5,3,false)</f>
        <v>65</v>
      </c>
      <c r="P8" s="13">
        <f>vlookup(N8,Interview_Slots!$A$1:$D$5,4,false)</f>
        <v>75</v>
      </c>
      <c r="Q8" s="13" t="str">
        <f t="shared" si="3"/>
        <v>Eligible</v>
      </c>
      <c r="R8" s="7" t="s">
        <v>22</v>
      </c>
    </row>
    <row r="9" ht="15.75" customHeight="1">
      <c r="A9" s="8" t="s">
        <v>39</v>
      </c>
      <c r="B9" s="8" t="s">
        <v>40</v>
      </c>
      <c r="C9" s="8" t="s">
        <v>41</v>
      </c>
      <c r="D9" s="9" t="str">
        <f>vlookup(C9,Dept_Lookup!A$1:B$17,2,false)</f>
        <v>Mechanical</v>
      </c>
      <c r="E9" s="14">
        <v>45915.0</v>
      </c>
      <c r="F9" s="10">
        <f t="shared" si="1"/>
        <v>45915</v>
      </c>
      <c r="G9" s="8">
        <v>77.0</v>
      </c>
      <c r="H9" s="8">
        <v>93.0</v>
      </c>
      <c r="I9" s="8">
        <v>92.0</v>
      </c>
      <c r="J9" s="11">
        <f>G9*Scoring_Weights!B$2+H9*Scoring_Weights!B$3+I9*Scoring_Weights!B$4</f>
        <v>90.1</v>
      </c>
      <c r="K9" s="12">
        <v>0.87</v>
      </c>
      <c r="L9" s="8">
        <v>0.8</v>
      </c>
      <c r="M9" s="12">
        <f t="shared" si="2"/>
        <v>0.8</v>
      </c>
      <c r="N9" s="8" t="s">
        <v>21</v>
      </c>
      <c r="O9" s="13">
        <f>vlookup(N9,Interview_Slots!$A$1:$D$5,3,false)</f>
        <v>65</v>
      </c>
      <c r="P9" s="13">
        <f>vlookup(N9,Interview_Slots!$A$1:$D$5,4,false)</f>
        <v>75</v>
      </c>
      <c r="Q9" s="13" t="str">
        <f t="shared" si="3"/>
        <v>Eligible</v>
      </c>
      <c r="R9" s="7" t="s">
        <v>22</v>
      </c>
    </row>
    <row r="10" ht="15.75" customHeight="1">
      <c r="A10" s="8" t="s">
        <v>42</v>
      </c>
      <c r="B10" s="8" t="s">
        <v>43</v>
      </c>
      <c r="C10" s="8" t="s">
        <v>44</v>
      </c>
      <c r="D10" s="9" t="str">
        <f>vlookup(C10,Dept_Lookup!A$1:B$17,2,false)</f>
        <v>Computer Science</v>
      </c>
      <c r="E10" s="14">
        <v>45900.0</v>
      </c>
      <c r="F10" s="10">
        <f t="shared" si="1"/>
        <v>45900</v>
      </c>
      <c r="G10" s="8">
        <v>88.0</v>
      </c>
      <c r="H10" s="8">
        <v>92.0</v>
      </c>
      <c r="I10" s="8">
        <v>88.0</v>
      </c>
      <c r="J10" s="11">
        <f>G10*Scoring_Weights!B$2+H10*Scoring_Weights!B$3+I10*Scoring_Weights!B$4</f>
        <v>89.4</v>
      </c>
      <c r="K10" s="12">
        <v>0.9</v>
      </c>
      <c r="L10" s="8">
        <v>0.97</v>
      </c>
      <c r="M10" s="12">
        <f t="shared" si="2"/>
        <v>0.97</v>
      </c>
      <c r="N10" s="8" t="s">
        <v>21</v>
      </c>
      <c r="O10" s="13">
        <f>vlookup(N10,Interview_Slots!$A$1:$D$5,3,false)</f>
        <v>65</v>
      </c>
      <c r="P10" s="13">
        <f>vlookup(N10,Interview_Slots!$A$1:$D$5,4,false)</f>
        <v>75</v>
      </c>
      <c r="Q10" s="13" t="str">
        <f t="shared" si="3"/>
        <v>Eligible</v>
      </c>
      <c r="R10" s="7" t="s">
        <v>22</v>
      </c>
    </row>
    <row r="11" ht="15.75" customHeight="1">
      <c r="A11" s="8" t="s">
        <v>45</v>
      </c>
      <c r="B11" s="8" t="s">
        <v>46</v>
      </c>
      <c r="C11" s="8" t="s">
        <v>47</v>
      </c>
      <c r="D11" s="9" t="str">
        <f>vlookup(C11,Dept_Lookup!A$1:B$17,2,false)</f>
        <v>Civil</v>
      </c>
      <c r="E11" s="14">
        <v>45855.0</v>
      </c>
      <c r="F11" s="10">
        <f t="shared" si="1"/>
        <v>45855</v>
      </c>
      <c r="G11" s="8">
        <v>82.0</v>
      </c>
      <c r="H11" s="8">
        <v>80.0</v>
      </c>
      <c r="I11" s="8">
        <v>97.0</v>
      </c>
      <c r="J11" s="11">
        <f>G11*Scoring_Weights!B$2+H11*Scoring_Weights!B$3+I11*Scoring_Weights!B$4</f>
        <v>88.8</v>
      </c>
      <c r="K11" s="12">
        <v>0.87</v>
      </c>
      <c r="L11" s="15">
        <v>0.73</v>
      </c>
      <c r="M11" s="12">
        <f t="shared" si="2"/>
        <v>0.73</v>
      </c>
      <c r="N11" s="8" t="s">
        <v>21</v>
      </c>
      <c r="O11" s="13">
        <f>vlookup(N11,Interview_Slots!$A$1:$D$5,3,false)</f>
        <v>65</v>
      </c>
      <c r="P11" s="13">
        <f>vlookup(N11,Interview_Slots!$A$1:$D$5,4,false)</f>
        <v>75</v>
      </c>
      <c r="Q11" s="13" t="str">
        <f t="shared" si="3"/>
        <v>Eligible</v>
      </c>
      <c r="R11" s="7" t="s">
        <v>22</v>
      </c>
    </row>
    <row r="12" ht="15.75" customHeight="1">
      <c r="A12" s="8" t="s">
        <v>48</v>
      </c>
      <c r="B12" s="8" t="s">
        <v>49</v>
      </c>
      <c r="C12" s="8" t="s">
        <v>50</v>
      </c>
      <c r="D12" s="9" t="str">
        <f>vlookup(C12,Dept_Lookup!A$1:B$17,2,false)</f>
        <v>Electronics</v>
      </c>
      <c r="E12" s="14">
        <v>45878.0</v>
      </c>
      <c r="F12" s="10">
        <f t="shared" si="1"/>
        <v>45878</v>
      </c>
      <c r="G12" s="8">
        <v>82.0</v>
      </c>
      <c r="H12" s="8">
        <v>95.0</v>
      </c>
      <c r="I12" s="8">
        <v>86.0</v>
      </c>
      <c r="J12" s="11">
        <f>G12*Scoring_Weights!B$2+H12*Scoring_Weights!B$3+I12*Scoring_Weights!B$4</f>
        <v>88.55</v>
      </c>
      <c r="K12" s="12">
        <v>0.79</v>
      </c>
      <c r="L12" s="12">
        <v>0.83</v>
      </c>
      <c r="M12" s="12">
        <f t="shared" si="2"/>
        <v>0.83</v>
      </c>
      <c r="N12" s="8" t="s">
        <v>21</v>
      </c>
      <c r="O12" s="13">
        <f>vlookup(N12,Interview_Slots!$A$1:$D$5,3,false)</f>
        <v>65</v>
      </c>
      <c r="P12" s="13">
        <f>vlookup(N12,Interview_Slots!$A$1:$D$5,4,false)</f>
        <v>75</v>
      </c>
      <c r="Q12" s="13" t="str">
        <f t="shared" si="3"/>
        <v>Eligible</v>
      </c>
      <c r="R12" s="7" t="s">
        <v>22</v>
      </c>
    </row>
    <row r="13" ht="15.75" customHeight="1">
      <c r="A13" s="8" t="s">
        <v>51</v>
      </c>
      <c r="B13" s="8" t="s">
        <v>52</v>
      </c>
      <c r="C13" s="8" t="s">
        <v>28</v>
      </c>
      <c r="D13" s="9" t="str">
        <f>vlookup(C13,Dept_Lookup!A$1:B$17,2,false)</f>
        <v>Electronics</v>
      </c>
      <c r="E13" s="14">
        <v>45929.0</v>
      </c>
      <c r="F13" s="10">
        <f t="shared" si="1"/>
        <v>45929</v>
      </c>
      <c r="G13" s="8">
        <v>61.0</v>
      </c>
      <c r="H13" s="8">
        <v>95.0</v>
      </c>
      <c r="I13" s="8">
        <v>91.0</v>
      </c>
      <c r="J13" s="11">
        <f>G13*Scoring_Weights!B$2+H13*Scoring_Weights!B$3+I13*Scoring_Weights!B$4</f>
        <v>87.9</v>
      </c>
      <c r="K13" s="12">
        <v>0.85</v>
      </c>
      <c r="L13" s="8">
        <v>1.0</v>
      </c>
      <c r="M13" s="12">
        <f t="shared" si="2"/>
        <v>1</v>
      </c>
      <c r="N13" s="8" t="s">
        <v>21</v>
      </c>
      <c r="O13" s="13">
        <f>vlookup(N13,Interview_Slots!$A$1:$D$5,3,false)</f>
        <v>65</v>
      </c>
      <c r="P13" s="13">
        <f>vlookup(N13,Interview_Slots!$A$1:$D$5,4,false)</f>
        <v>75</v>
      </c>
      <c r="Q13" s="13" t="str">
        <f t="shared" si="3"/>
        <v>Eligible</v>
      </c>
      <c r="R13" s="7" t="s">
        <v>22</v>
      </c>
    </row>
    <row r="14" ht="15.75" customHeight="1">
      <c r="A14" s="8" t="s">
        <v>53</v>
      </c>
      <c r="B14" s="8" t="s">
        <v>54</v>
      </c>
      <c r="C14" s="8" t="s">
        <v>44</v>
      </c>
      <c r="D14" s="9" t="str">
        <f>vlookup(C14,Dept_Lookup!A$1:B$17,2,false)</f>
        <v>Computer Science</v>
      </c>
      <c r="E14" s="14">
        <v>45883.0</v>
      </c>
      <c r="F14" s="10">
        <f t="shared" si="1"/>
        <v>45883</v>
      </c>
      <c r="G14" s="8">
        <v>79.0</v>
      </c>
      <c r="H14" s="8">
        <v>87.0</v>
      </c>
      <c r="I14" s="8">
        <v>91.0</v>
      </c>
      <c r="J14" s="11">
        <f>G14*Scoring_Weights!B$2+H14*Scoring_Weights!B$3+I14*Scoring_Weights!B$4</f>
        <v>87.8</v>
      </c>
      <c r="K14" s="12">
        <v>0.89</v>
      </c>
      <c r="L14" s="8">
        <v>0.84</v>
      </c>
      <c r="M14" s="12">
        <f t="shared" si="2"/>
        <v>0.84</v>
      </c>
      <c r="N14" s="8" t="s">
        <v>21</v>
      </c>
      <c r="O14" s="13">
        <f>vlookup(N14,Interview_Slots!$A$1:$D$5,3,false)</f>
        <v>65</v>
      </c>
      <c r="P14" s="13">
        <f>vlookup(N14,Interview_Slots!$A$1:$D$5,4,false)</f>
        <v>75</v>
      </c>
      <c r="Q14" s="13" t="str">
        <f t="shared" si="3"/>
        <v>Eligible</v>
      </c>
      <c r="R14" s="7" t="s">
        <v>22</v>
      </c>
    </row>
    <row r="15" ht="15.75" customHeight="1">
      <c r="A15" s="8" t="s">
        <v>55</v>
      </c>
      <c r="B15" s="8" t="s">
        <v>56</v>
      </c>
      <c r="C15" s="8" t="s">
        <v>57</v>
      </c>
      <c r="D15" s="9" t="str">
        <f>vlookup(C15,Dept_Lookup!A$1:B$17,2,false)</f>
        <v>Computer Science</v>
      </c>
      <c r="E15" s="9">
        <v>45887.0</v>
      </c>
      <c r="F15" s="10">
        <f t="shared" si="1"/>
        <v>45887</v>
      </c>
      <c r="G15" s="8">
        <v>72.0</v>
      </c>
      <c r="H15" s="8">
        <v>88.0</v>
      </c>
      <c r="I15" s="8">
        <v>92.0</v>
      </c>
      <c r="J15" s="11">
        <f>G15*Scoring_Weights!B$2+H15*Scoring_Weights!B$3+I15*Scoring_Weights!B$4</f>
        <v>87.6</v>
      </c>
      <c r="K15" s="12">
        <v>0.9</v>
      </c>
      <c r="L15" s="8">
        <v>0.84</v>
      </c>
      <c r="M15" s="12">
        <f t="shared" si="2"/>
        <v>0.84</v>
      </c>
      <c r="N15" s="8" t="s">
        <v>21</v>
      </c>
      <c r="O15" s="13">
        <f>vlookup(N15,Interview_Slots!$A$1:$D$5,3,false)</f>
        <v>65</v>
      </c>
      <c r="P15" s="13">
        <f>vlookup(N15,Interview_Slots!$A$1:$D$5,4,false)</f>
        <v>75</v>
      </c>
      <c r="Q15" s="13" t="str">
        <f t="shared" si="3"/>
        <v>Eligible</v>
      </c>
      <c r="R15" s="7" t="s">
        <v>22</v>
      </c>
    </row>
    <row r="16" ht="15.75" hidden="1" customHeight="1">
      <c r="A16" s="8" t="s">
        <v>58</v>
      </c>
      <c r="B16" s="8" t="s">
        <v>59</v>
      </c>
      <c r="C16" s="8" t="s">
        <v>41</v>
      </c>
      <c r="D16" s="9" t="str">
        <f>vlookup(C16,Dept_Lookup!A$1:B$17,2,false)</f>
        <v>Mechanical</v>
      </c>
      <c r="E16" s="9">
        <v>45872.0</v>
      </c>
      <c r="F16" s="10">
        <f t="shared" si="1"/>
        <v>45872</v>
      </c>
      <c r="G16" s="8">
        <v>87.0</v>
      </c>
      <c r="H16" s="8">
        <v>77.0</v>
      </c>
      <c r="I16" s="8">
        <v>95.0</v>
      </c>
      <c r="J16" s="11">
        <f>G16*Scoring_Weights!B$2+H16*Scoring_Weights!B$3+I16*Scoring_Weights!B$4</f>
        <v>87.5</v>
      </c>
      <c r="K16" s="12">
        <v>0.72</v>
      </c>
      <c r="L16" s="15">
        <v>0.99</v>
      </c>
      <c r="M16" s="12">
        <f t="shared" si="2"/>
        <v>0.99</v>
      </c>
      <c r="N16" s="8" t="s">
        <v>21</v>
      </c>
      <c r="O16" s="13">
        <f>vlookup(N16,Interview_Slots!$A$1:$D$5,3,false)</f>
        <v>65</v>
      </c>
      <c r="P16" s="13">
        <f>vlookup(N16,Interview_Slots!$A$1:$D$5,4,false)</f>
        <v>75</v>
      </c>
      <c r="Q16" s="13" t="str">
        <f t="shared" si="3"/>
        <v>Not Eligible</v>
      </c>
    </row>
    <row r="17" ht="15.75" customHeight="1">
      <c r="A17" s="8" t="s">
        <v>60</v>
      </c>
      <c r="B17" s="8" t="s">
        <v>61</v>
      </c>
      <c r="C17" s="8" t="s">
        <v>35</v>
      </c>
      <c r="D17" s="9" t="str">
        <f>vlookup(C17,Dept_Lookup!A$1:B$17,2,false)</f>
        <v>Electronics</v>
      </c>
      <c r="E17" s="14">
        <v>45902.0</v>
      </c>
      <c r="F17" s="10">
        <f t="shared" si="1"/>
        <v>45902</v>
      </c>
      <c r="G17" s="8">
        <v>94.0</v>
      </c>
      <c r="H17" s="8">
        <v>92.0</v>
      </c>
      <c r="I17" s="8">
        <v>82.0</v>
      </c>
      <c r="J17" s="11">
        <f>G17*Scoring_Weights!B$2+H17*Scoring_Weights!B$3+I17*Scoring_Weights!B$4</f>
        <v>87.3</v>
      </c>
      <c r="K17" s="12">
        <v>0.76</v>
      </c>
      <c r="L17" s="8">
        <v>0.8</v>
      </c>
      <c r="M17" s="12">
        <f t="shared" si="2"/>
        <v>0.8</v>
      </c>
      <c r="N17" s="8" t="s">
        <v>21</v>
      </c>
      <c r="O17" s="13">
        <f>vlookup(N17,Interview_Slots!$A$1:$D$5,3,false)</f>
        <v>65</v>
      </c>
      <c r="P17" s="13">
        <f>vlookup(N17,Interview_Slots!$A$1:$D$5,4,false)</f>
        <v>75</v>
      </c>
      <c r="Q17" s="13" t="str">
        <f t="shared" si="3"/>
        <v>Eligible</v>
      </c>
      <c r="R17" s="7" t="s">
        <v>22</v>
      </c>
    </row>
    <row r="18" ht="15.75" customHeight="1">
      <c r="A18" s="8" t="s">
        <v>62</v>
      </c>
      <c r="B18" s="8" t="s">
        <v>63</v>
      </c>
      <c r="C18" s="8" t="s">
        <v>25</v>
      </c>
      <c r="D18" s="9" t="str">
        <f>vlookup(C18,Dept_Lookup!A$1:B$17,2,false)</f>
        <v>Computer Science</v>
      </c>
      <c r="E18" s="14">
        <v>45900.0</v>
      </c>
      <c r="F18" s="10">
        <f t="shared" si="1"/>
        <v>45900</v>
      </c>
      <c r="G18" s="8">
        <v>64.0</v>
      </c>
      <c r="H18" s="8">
        <v>86.0</v>
      </c>
      <c r="I18" s="8">
        <v>95.0</v>
      </c>
      <c r="J18" s="11">
        <f>G18*Scoring_Weights!B$2+H18*Scoring_Weights!B$3+I18*Scoring_Weights!B$4</f>
        <v>87.2</v>
      </c>
      <c r="K18" s="12">
        <v>0.76</v>
      </c>
      <c r="L18" s="8">
        <v>0.8</v>
      </c>
      <c r="M18" s="12">
        <f t="shared" si="2"/>
        <v>0.8</v>
      </c>
      <c r="N18" s="8" t="s">
        <v>21</v>
      </c>
      <c r="O18" s="13">
        <f>vlookup(N18,Interview_Slots!$A$1:$D$5,3,false)</f>
        <v>65</v>
      </c>
      <c r="P18" s="13">
        <f>vlookup(N18,Interview_Slots!$A$1:$D$5,4,false)</f>
        <v>75</v>
      </c>
      <c r="Q18" s="13" t="str">
        <f t="shared" si="3"/>
        <v>Eligible</v>
      </c>
      <c r="R18" s="7" t="s">
        <v>22</v>
      </c>
    </row>
    <row r="19" ht="15.75" customHeight="1">
      <c r="A19" s="8" t="s">
        <v>64</v>
      </c>
      <c r="B19" s="8" t="s">
        <v>65</v>
      </c>
      <c r="C19" s="8" t="s">
        <v>38</v>
      </c>
      <c r="D19" s="9" t="str">
        <f>vlookup(C19,Dept_Lookup!A$1:B$17,2,false)</f>
        <v>Mechanical</v>
      </c>
      <c r="E19" s="9">
        <v>45860.0</v>
      </c>
      <c r="F19" s="10">
        <f t="shared" si="1"/>
        <v>45860</v>
      </c>
      <c r="G19" s="8">
        <v>93.0</v>
      </c>
      <c r="H19" s="8">
        <v>77.0</v>
      </c>
      <c r="I19" s="8">
        <v>92.0</v>
      </c>
      <c r="J19" s="11">
        <f>G19*Scoring_Weights!B$2+H19*Scoring_Weights!B$3+I19*Scoring_Weights!B$4</f>
        <v>86.9</v>
      </c>
      <c r="K19" s="12">
        <v>0.84</v>
      </c>
      <c r="L19" s="12">
        <v>0.76</v>
      </c>
      <c r="M19" s="12">
        <f t="shared" si="2"/>
        <v>0.76</v>
      </c>
      <c r="N19" s="8" t="s">
        <v>21</v>
      </c>
      <c r="O19" s="13">
        <f>vlookup(N19,Interview_Slots!$A$1:$D$5,3,false)</f>
        <v>65</v>
      </c>
      <c r="P19" s="13">
        <f>vlookup(N19,Interview_Slots!$A$1:$D$5,4,false)</f>
        <v>75</v>
      </c>
      <c r="Q19" s="13" t="str">
        <f t="shared" si="3"/>
        <v>Eligible</v>
      </c>
      <c r="R19" s="7" t="s">
        <v>22</v>
      </c>
    </row>
    <row r="20" ht="15.75" customHeight="1">
      <c r="A20" s="8" t="s">
        <v>66</v>
      </c>
      <c r="B20" s="8" t="s">
        <v>67</v>
      </c>
      <c r="C20" s="8" t="s">
        <v>20</v>
      </c>
      <c r="D20" s="9" t="str">
        <f>vlookup(C20,Dept_Lookup!A$1:B$17,2,false)</f>
        <v>Electronics</v>
      </c>
      <c r="E20" s="14">
        <v>45900.0</v>
      </c>
      <c r="F20" s="10">
        <f t="shared" si="1"/>
        <v>45900</v>
      </c>
      <c r="G20" s="8">
        <v>73.0</v>
      </c>
      <c r="H20" s="8">
        <v>95.0</v>
      </c>
      <c r="I20" s="8">
        <v>85.0</v>
      </c>
      <c r="J20" s="11">
        <f>G20*Scoring_Weights!B$2+H20*Scoring_Weights!B$3+I20*Scoring_Weights!B$4</f>
        <v>86.7</v>
      </c>
      <c r="K20" s="12">
        <v>0.89</v>
      </c>
      <c r="L20" s="8">
        <v>0.93</v>
      </c>
      <c r="M20" s="12">
        <f t="shared" si="2"/>
        <v>0.93</v>
      </c>
      <c r="N20" s="8" t="s">
        <v>21</v>
      </c>
      <c r="O20" s="13">
        <f>vlookup(N20,Interview_Slots!$A$1:$D$5,3,false)</f>
        <v>65</v>
      </c>
      <c r="P20" s="13">
        <f>vlookup(N20,Interview_Slots!$A$1:$D$5,4,false)</f>
        <v>75</v>
      </c>
      <c r="Q20" s="13" t="str">
        <f t="shared" si="3"/>
        <v>Eligible</v>
      </c>
      <c r="R20" s="7" t="s">
        <v>22</v>
      </c>
    </row>
    <row r="21" ht="15.75" customHeight="1">
      <c r="A21" s="8" t="s">
        <v>68</v>
      </c>
      <c r="B21" s="8" t="s">
        <v>69</v>
      </c>
      <c r="C21" s="8" t="s">
        <v>44</v>
      </c>
      <c r="D21" s="9" t="str">
        <f>vlookup(C21,Dept_Lookup!A$1:B$17,2,false)</f>
        <v>Computer Science</v>
      </c>
      <c r="E21" s="14">
        <v>45854.0</v>
      </c>
      <c r="F21" s="10">
        <f t="shared" si="1"/>
        <v>45854</v>
      </c>
      <c r="G21" s="8">
        <v>69.0</v>
      </c>
      <c r="H21" s="8">
        <v>81.0</v>
      </c>
      <c r="I21" s="8">
        <v>96.0</v>
      </c>
      <c r="J21" s="11">
        <f>G21*Scoring_Weights!B$2+H21*Scoring_Weights!B$3+I21*Scoring_Weights!B$4</f>
        <v>86.7</v>
      </c>
      <c r="K21" s="12">
        <v>0.8</v>
      </c>
      <c r="L21" s="8">
        <v>0.82</v>
      </c>
      <c r="M21" s="12">
        <f t="shared" si="2"/>
        <v>0.82</v>
      </c>
      <c r="N21" s="8" t="s">
        <v>21</v>
      </c>
      <c r="O21" s="13">
        <f>vlookup(N21,Interview_Slots!$A$1:$D$5,3,false)</f>
        <v>65</v>
      </c>
      <c r="P21" s="13">
        <f>vlookup(N21,Interview_Slots!$A$1:$D$5,4,false)</f>
        <v>75</v>
      </c>
      <c r="Q21" s="13" t="str">
        <f t="shared" si="3"/>
        <v>Eligible</v>
      </c>
      <c r="R21" s="7" t="s">
        <v>22</v>
      </c>
    </row>
    <row r="22" ht="15.75" customHeight="1">
      <c r="A22" s="8" t="s">
        <v>70</v>
      </c>
      <c r="B22" s="8" t="s">
        <v>71</v>
      </c>
      <c r="C22" s="8" t="s">
        <v>72</v>
      </c>
      <c r="D22" s="9" t="str">
        <f>vlookup(C22,Dept_Lookup!A$1:B$17,2,false)</f>
        <v>Mechanical</v>
      </c>
      <c r="E22" s="9">
        <v>45889.0</v>
      </c>
      <c r="F22" s="10">
        <f t="shared" si="1"/>
        <v>45889</v>
      </c>
      <c r="G22" s="8">
        <v>97.0</v>
      </c>
      <c r="H22" s="8">
        <v>80.0</v>
      </c>
      <c r="I22" s="8">
        <v>88.0</v>
      </c>
      <c r="J22" s="11">
        <f>G22*Scoring_Weights!B$2+H22*Scoring_Weights!B$3+I22*Scoring_Weights!B$4</f>
        <v>86.55</v>
      </c>
      <c r="K22" s="12">
        <v>0.84</v>
      </c>
      <c r="L22" s="8">
        <v>0.77</v>
      </c>
      <c r="M22" s="12">
        <f t="shared" si="2"/>
        <v>0.77</v>
      </c>
      <c r="N22" s="8" t="s">
        <v>21</v>
      </c>
      <c r="O22" s="13">
        <f>vlookup(N22,Interview_Slots!$A$1:$D$5,3,false)</f>
        <v>65</v>
      </c>
      <c r="P22" s="13">
        <f>vlookup(N22,Interview_Slots!$A$1:$D$5,4,false)</f>
        <v>75</v>
      </c>
      <c r="Q22" s="13" t="str">
        <f t="shared" si="3"/>
        <v>Eligible</v>
      </c>
      <c r="R22" s="7" t="s">
        <v>22</v>
      </c>
    </row>
    <row r="23" ht="15.75" customHeight="1">
      <c r="A23" s="8" t="s">
        <v>73</v>
      </c>
      <c r="B23" s="8" t="s">
        <v>74</v>
      </c>
      <c r="C23" s="8" t="s">
        <v>57</v>
      </c>
      <c r="D23" s="9" t="str">
        <f>vlookup(C23,Dept_Lookup!A$1:B$17,2,false)</f>
        <v>Computer Science</v>
      </c>
      <c r="E23" s="14">
        <v>45842.0</v>
      </c>
      <c r="F23" s="10">
        <f t="shared" si="1"/>
        <v>45842</v>
      </c>
      <c r="G23" s="8">
        <v>73.0</v>
      </c>
      <c r="H23" s="8">
        <v>97.0</v>
      </c>
      <c r="I23" s="8">
        <v>83.0</v>
      </c>
      <c r="J23" s="11">
        <f>G23*Scoring_Weights!B$2+H23*Scoring_Weights!B$3+I23*Scoring_Weights!B$4</f>
        <v>86.4</v>
      </c>
      <c r="K23" s="12">
        <v>0.8</v>
      </c>
      <c r="L23" s="8">
        <v>0.89</v>
      </c>
      <c r="M23" s="12">
        <f t="shared" si="2"/>
        <v>0.89</v>
      </c>
      <c r="N23" s="8" t="s">
        <v>21</v>
      </c>
      <c r="O23" s="13">
        <f>vlookup(N23,Interview_Slots!$A$1:$D$5,3,false)</f>
        <v>65</v>
      </c>
      <c r="P23" s="13">
        <f>vlookup(N23,Interview_Slots!$A$1:$D$5,4,false)</f>
        <v>75</v>
      </c>
      <c r="Q23" s="13" t="str">
        <f t="shared" si="3"/>
        <v>Eligible</v>
      </c>
      <c r="R23" s="7" t="s">
        <v>22</v>
      </c>
    </row>
    <row r="24" ht="15.75" customHeight="1">
      <c r="A24" s="8" t="s">
        <v>75</v>
      </c>
      <c r="B24" s="8" t="s">
        <v>76</v>
      </c>
      <c r="C24" s="8" t="s">
        <v>38</v>
      </c>
      <c r="D24" s="9" t="str">
        <f>vlookup(C24,Dept_Lookup!A$1:B$17,2,false)</f>
        <v>Mechanical</v>
      </c>
      <c r="E24" s="9">
        <v>45875.0</v>
      </c>
      <c r="F24" s="10">
        <f t="shared" si="1"/>
        <v>45875</v>
      </c>
      <c r="G24" s="8">
        <v>98.0</v>
      </c>
      <c r="H24" s="8">
        <v>83.0</v>
      </c>
      <c r="I24" s="8">
        <v>85.0</v>
      </c>
      <c r="J24" s="11">
        <f>G24*Scoring_Weights!B$2+H24*Scoring_Weights!B$3+I24*Scoring_Weights!B$4</f>
        <v>86.25</v>
      </c>
      <c r="K24" s="12">
        <v>0.89</v>
      </c>
      <c r="L24" s="12">
        <v>0.78</v>
      </c>
      <c r="M24" s="12">
        <f t="shared" si="2"/>
        <v>0.78</v>
      </c>
      <c r="N24" s="8" t="s">
        <v>21</v>
      </c>
      <c r="O24" s="13">
        <f>vlookup(N24,Interview_Slots!$A$1:$D$5,3,false)</f>
        <v>65</v>
      </c>
      <c r="P24" s="13">
        <f>vlookup(N24,Interview_Slots!$A$1:$D$5,4,false)</f>
        <v>75</v>
      </c>
      <c r="Q24" s="13" t="str">
        <f t="shared" si="3"/>
        <v>Eligible</v>
      </c>
      <c r="R24" s="7" t="s">
        <v>22</v>
      </c>
    </row>
    <row r="25" ht="15.75" customHeight="1">
      <c r="A25" s="8" t="s">
        <v>77</v>
      </c>
      <c r="B25" s="8" t="s">
        <v>78</v>
      </c>
      <c r="C25" s="8" t="s">
        <v>38</v>
      </c>
      <c r="D25" s="9" t="str">
        <f>vlookup(C25,Dept_Lookup!A$1:B$17,2,false)</f>
        <v>Mechanical</v>
      </c>
      <c r="E25" s="14">
        <v>45867.0</v>
      </c>
      <c r="F25" s="10">
        <f t="shared" si="1"/>
        <v>45867</v>
      </c>
      <c r="G25" s="8">
        <v>95.0</v>
      </c>
      <c r="H25" s="8">
        <v>79.0</v>
      </c>
      <c r="I25" s="8">
        <v>88.0</v>
      </c>
      <c r="J25" s="11">
        <f>G25*Scoring_Weights!B$2+H25*Scoring_Weights!B$3+I25*Scoring_Weights!B$4</f>
        <v>85.9</v>
      </c>
      <c r="K25" s="12">
        <v>0.86</v>
      </c>
      <c r="L25" s="12">
        <v>0.82</v>
      </c>
      <c r="M25" s="12">
        <f t="shared" si="2"/>
        <v>0.82</v>
      </c>
      <c r="N25" s="8" t="s">
        <v>21</v>
      </c>
      <c r="O25" s="13">
        <f>vlookup(N25,Interview_Slots!$A$1:$D$5,3,false)</f>
        <v>65</v>
      </c>
      <c r="P25" s="13">
        <f>vlookup(N25,Interview_Slots!$A$1:$D$5,4,false)</f>
        <v>75</v>
      </c>
      <c r="Q25" s="13" t="str">
        <f t="shared" si="3"/>
        <v>Eligible</v>
      </c>
      <c r="R25" s="7" t="s">
        <v>22</v>
      </c>
    </row>
    <row r="26" ht="15.75" customHeight="1">
      <c r="A26" s="8" t="s">
        <v>79</v>
      </c>
      <c r="B26" s="8" t="s">
        <v>80</v>
      </c>
      <c r="C26" s="8" t="s">
        <v>25</v>
      </c>
      <c r="D26" s="9" t="str">
        <f>vlookup(C26,Dept_Lookup!A$1:B$17,2,false)</f>
        <v>Computer Science</v>
      </c>
      <c r="E26" s="14">
        <v>45913.0</v>
      </c>
      <c r="F26" s="10">
        <f t="shared" si="1"/>
        <v>45913</v>
      </c>
      <c r="G26" s="8">
        <v>63.0</v>
      </c>
      <c r="H26" s="8">
        <v>85.0</v>
      </c>
      <c r="I26" s="8">
        <v>93.0</v>
      </c>
      <c r="J26" s="11">
        <f>G26*Scoring_Weights!B$2+H26*Scoring_Weights!B$3+I26*Scoring_Weights!B$4</f>
        <v>85.7</v>
      </c>
      <c r="K26" s="12">
        <v>0.82</v>
      </c>
      <c r="L26" s="8">
        <v>0.81</v>
      </c>
      <c r="M26" s="12">
        <f t="shared" si="2"/>
        <v>0.81</v>
      </c>
      <c r="N26" s="8" t="s">
        <v>21</v>
      </c>
      <c r="O26" s="13">
        <f>vlookup(N26,Interview_Slots!$A$1:$D$5,3,false)</f>
        <v>65</v>
      </c>
      <c r="P26" s="13">
        <f>vlookup(N26,Interview_Slots!$A$1:$D$5,4,false)</f>
        <v>75</v>
      </c>
      <c r="Q26" s="13" t="str">
        <f t="shared" si="3"/>
        <v>Eligible</v>
      </c>
      <c r="R26" s="7" t="s">
        <v>22</v>
      </c>
    </row>
    <row r="27" ht="15.75" customHeight="1">
      <c r="A27" s="8" t="s">
        <v>81</v>
      </c>
      <c r="B27" s="8" t="s">
        <v>82</v>
      </c>
      <c r="C27" s="8" t="s">
        <v>83</v>
      </c>
      <c r="D27" s="9" t="str">
        <f>vlookup(C27,Dept_Lookup!A$1:B$17,2,false)</f>
        <v>Civil</v>
      </c>
      <c r="E27" s="9">
        <v>45866.0</v>
      </c>
      <c r="F27" s="10">
        <f t="shared" si="1"/>
        <v>45866</v>
      </c>
      <c r="G27" s="8">
        <v>98.0</v>
      </c>
      <c r="H27" s="8">
        <v>66.0</v>
      </c>
      <c r="I27" s="8">
        <v>95.0</v>
      </c>
      <c r="J27" s="11">
        <f>G27*Scoring_Weights!B$2+H27*Scoring_Weights!B$3+I27*Scoring_Weights!B$4</f>
        <v>85.3</v>
      </c>
      <c r="K27" s="12">
        <v>0.91</v>
      </c>
      <c r="L27" s="8">
        <v>1.0</v>
      </c>
      <c r="M27" s="12">
        <f t="shared" si="2"/>
        <v>1</v>
      </c>
      <c r="N27" s="8" t="s">
        <v>21</v>
      </c>
      <c r="O27" s="13">
        <f>vlookup(N27,Interview_Slots!$A$1:$D$5,3,false)</f>
        <v>65</v>
      </c>
      <c r="P27" s="13">
        <f>vlookup(N27,Interview_Slots!$A$1:$D$5,4,false)</f>
        <v>75</v>
      </c>
      <c r="Q27" s="13" t="str">
        <f t="shared" si="3"/>
        <v>Eligible</v>
      </c>
      <c r="R27" s="7" t="s">
        <v>22</v>
      </c>
    </row>
    <row r="28" ht="15.75" customHeight="1">
      <c r="A28" s="8" t="s">
        <v>84</v>
      </c>
      <c r="B28" s="8" t="s">
        <v>85</v>
      </c>
      <c r="C28" s="8" t="s">
        <v>25</v>
      </c>
      <c r="D28" s="9" t="str">
        <f>vlookup(C28,Dept_Lookup!A$1:B$17,2,false)</f>
        <v>Computer Science</v>
      </c>
      <c r="E28" s="14">
        <v>45871.0</v>
      </c>
      <c r="F28" s="10">
        <f t="shared" si="1"/>
        <v>45871</v>
      </c>
      <c r="G28" s="8">
        <v>98.0</v>
      </c>
      <c r="H28" s="8">
        <v>66.0</v>
      </c>
      <c r="I28" s="8">
        <v>95.0</v>
      </c>
      <c r="J28" s="11">
        <f>G28*Scoring_Weights!B$2+H28*Scoring_Weights!B$3+I28*Scoring_Weights!B$4</f>
        <v>85.3</v>
      </c>
      <c r="K28" s="12">
        <v>0.91</v>
      </c>
      <c r="L28" s="8">
        <v>1.0</v>
      </c>
      <c r="M28" s="12">
        <f t="shared" si="2"/>
        <v>1</v>
      </c>
      <c r="N28" s="8" t="s">
        <v>21</v>
      </c>
      <c r="O28" s="13">
        <f>vlookup(N28,Interview_Slots!$A$1:$D$5,3,false)</f>
        <v>65</v>
      </c>
      <c r="P28" s="13">
        <f>vlookup(N28,Interview_Slots!$A$1:$D$5,4,false)</f>
        <v>75</v>
      </c>
      <c r="Q28" s="13" t="str">
        <f t="shared" si="3"/>
        <v>Eligible</v>
      </c>
      <c r="R28" s="7" t="s">
        <v>22</v>
      </c>
    </row>
    <row r="29" ht="15.75" customHeight="1">
      <c r="A29" s="8" t="s">
        <v>86</v>
      </c>
      <c r="B29" s="8" t="s">
        <v>87</v>
      </c>
      <c r="C29" s="8" t="s">
        <v>44</v>
      </c>
      <c r="D29" s="9" t="str">
        <f>vlookup(C29,Dept_Lookup!A$1:B$17,2,false)</f>
        <v>Computer Science</v>
      </c>
      <c r="E29" s="14">
        <v>45865.0</v>
      </c>
      <c r="F29" s="10">
        <f t="shared" si="1"/>
        <v>45865</v>
      </c>
      <c r="G29" s="8">
        <v>79.0</v>
      </c>
      <c r="H29" s="8">
        <v>88.0</v>
      </c>
      <c r="I29" s="8">
        <v>85.0</v>
      </c>
      <c r="J29" s="11">
        <f>G29*Scoring_Weights!B$2+H29*Scoring_Weights!B$3+I29*Scoring_Weights!B$4</f>
        <v>85.15</v>
      </c>
      <c r="K29" s="12">
        <v>0.89</v>
      </c>
      <c r="L29" s="8">
        <v>0.89</v>
      </c>
      <c r="M29" s="12">
        <f t="shared" si="2"/>
        <v>0.89</v>
      </c>
      <c r="N29" s="8" t="s">
        <v>21</v>
      </c>
      <c r="O29" s="13">
        <f>vlookup(N29,Interview_Slots!$A$1:$D$5,3,false)</f>
        <v>65</v>
      </c>
      <c r="P29" s="13">
        <f>vlookup(N29,Interview_Slots!$A$1:$D$5,4,false)</f>
        <v>75</v>
      </c>
      <c r="Q29" s="13" t="str">
        <f t="shared" si="3"/>
        <v>Eligible</v>
      </c>
      <c r="R29" s="7" t="s">
        <v>22</v>
      </c>
    </row>
    <row r="30" ht="15.75" customHeight="1">
      <c r="A30" s="8" t="s">
        <v>88</v>
      </c>
      <c r="B30" s="8" t="s">
        <v>89</v>
      </c>
      <c r="C30" s="8" t="s">
        <v>20</v>
      </c>
      <c r="D30" s="9" t="str">
        <f>vlookup(C30,Dept_Lookup!A$1:B$17,2,false)</f>
        <v>Electronics</v>
      </c>
      <c r="E30" s="9">
        <v>45893.0</v>
      </c>
      <c r="F30" s="10">
        <f t="shared" si="1"/>
        <v>45893</v>
      </c>
      <c r="G30" s="8">
        <v>66.0</v>
      </c>
      <c r="H30" s="8">
        <v>78.0</v>
      </c>
      <c r="I30" s="8">
        <v>95.0</v>
      </c>
      <c r="J30" s="11">
        <f>G30*Scoring_Weights!B$2+H30*Scoring_Weights!B$3+I30*Scoring_Weights!B$4</f>
        <v>84.7</v>
      </c>
      <c r="K30" s="12">
        <v>0.87</v>
      </c>
      <c r="L30" s="8">
        <v>0.94</v>
      </c>
      <c r="M30" s="12">
        <f t="shared" si="2"/>
        <v>0.94</v>
      </c>
      <c r="N30" s="8" t="s">
        <v>21</v>
      </c>
      <c r="O30" s="13">
        <f>vlookup(N30,Interview_Slots!$A$1:$D$5,3,false)</f>
        <v>65</v>
      </c>
      <c r="P30" s="13">
        <f>vlookup(N30,Interview_Slots!$A$1:$D$5,4,false)</f>
        <v>75</v>
      </c>
      <c r="Q30" s="13" t="str">
        <f t="shared" si="3"/>
        <v>Eligible</v>
      </c>
      <c r="R30" s="7" t="s">
        <v>22</v>
      </c>
    </row>
    <row r="31" ht="15.75" customHeight="1">
      <c r="A31" s="8" t="s">
        <v>90</v>
      </c>
      <c r="B31" s="8" t="s">
        <v>91</v>
      </c>
      <c r="C31" s="8" t="s">
        <v>47</v>
      </c>
      <c r="D31" s="9" t="str">
        <f>vlookup(C31,Dept_Lookup!A$1:B$17,2,false)</f>
        <v>Civil</v>
      </c>
      <c r="E31" s="8" t="s">
        <v>92</v>
      </c>
      <c r="F31" s="10">
        <f t="shared" si="1"/>
        <v>45898</v>
      </c>
      <c r="G31" s="8">
        <v>70.0</v>
      </c>
      <c r="H31" s="8">
        <v>94.0</v>
      </c>
      <c r="I31" s="8">
        <v>82.0</v>
      </c>
      <c r="J31" s="11">
        <f>G31*Scoring_Weights!B$2+H31*Scoring_Weights!B$3+I31*Scoring_Weights!B$4</f>
        <v>84.4</v>
      </c>
      <c r="K31" s="12">
        <v>0.83</v>
      </c>
      <c r="L31" s="8">
        <v>0.86</v>
      </c>
      <c r="M31" s="12">
        <f t="shared" si="2"/>
        <v>0.86</v>
      </c>
      <c r="N31" s="8" t="s">
        <v>21</v>
      </c>
      <c r="O31" s="13">
        <f>vlookup(N31,Interview_Slots!$A$1:$D$5,3,false)</f>
        <v>65</v>
      </c>
      <c r="P31" s="13">
        <f>vlookup(N31,Interview_Slots!$A$1:$D$5,4,false)</f>
        <v>75</v>
      </c>
      <c r="Q31" s="13" t="str">
        <f t="shared" si="3"/>
        <v>Eligible</v>
      </c>
      <c r="R31" s="7" t="s">
        <v>22</v>
      </c>
    </row>
    <row r="32" ht="15.75" customHeight="1">
      <c r="A32" s="8" t="s">
        <v>93</v>
      </c>
      <c r="B32" s="8" t="s">
        <v>94</v>
      </c>
      <c r="C32" s="8" t="s">
        <v>72</v>
      </c>
      <c r="D32" s="9" t="str">
        <f>vlookup(C32,Dept_Lookup!A$1:B$17,2,false)</f>
        <v>Mechanical</v>
      </c>
      <c r="E32" s="9">
        <v>45870.0</v>
      </c>
      <c r="F32" s="10">
        <f t="shared" si="1"/>
        <v>45870</v>
      </c>
      <c r="G32" s="8">
        <v>76.0</v>
      </c>
      <c r="H32" s="8">
        <v>97.0</v>
      </c>
      <c r="I32" s="8">
        <v>78.0</v>
      </c>
      <c r="J32" s="11">
        <f>G32*Scoring_Weights!B$2+H32*Scoring_Weights!B$3+I32*Scoring_Weights!B$4</f>
        <v>84.35</v>
      </c>
      <c r="K32" s="12">
        <v>0.83</v>
      </c>
      <c r="L32" s="8">
        <v>0.91</v>
      </c>
      <c r="M32" s="12">
        <f t="shared" si="2"/>
        <v>0.91</v>
      </c>
      <c r="N32" s="8" t="s">
        <v>21</v>
      </c>
      <c r="O32" s="13">
        <f>vlookup(N32,Interview_Slots!$A$1:$D$5,3,false)</f>
        <v>65</v>
      </c>
      <c r="P32" s="13">
        <f>vlookup(N32,Interview_Slots!$A$1:$D$5,4,false)</f>
        <v>75</v>
      </c>
      <c r="Q32" s="13" t="str">
        <f t="shared" si="3"/>
        <v>Eligible</v>
      </c>
      <c r="R32" s="7" t="s">
        <v>22</v>
      </c>
    </row>
    <row r="33" ht="15.75" customHeight="1">
      <c r="A33" s="8" t="s">
        <v>95</v>
      </c>
      <c r="B33" s="8" t="s">
        <v>96</v>
      </c>
      <c r="C33" s="8" t="s">
        <v>20</v>
      </c>
      <c r="D33" s="9" t="str">
        <f>vlookup(C33,Dept_Lookup!A$1:B$17,2,false)</f>
        <v>Electronics</v>
      </c>
      <c r="E33" s="14">
        <v>45900.0</v>
      </c>
      <c r="F33" s="10">
        <f t="shared" si="1"/>
        <v>45900</v>
      </c>
      <c r="G33" s="8">
        <v>85.0</v>
      </c>
      <c r="H33" s="8">
        <v>80.0</v>
      </c>
      <c r="I33" s="8">
        <v>87.0</v>
      </c>
      <c r="J33" s="11">
        <f>G33*Scoring_Weights!B$2+H33*Scoring_Weights!B$3+I33*Scoring_Weights!B$4</f>
        <v>84.25</v>
      </c>
      <c r="K33" s="12">
        <v>0.83</v>
      </c>
      <c r="L33" s="12">
        <v>0.96</v>
      </c>
      <c r="M33" s="12">
        <f t="shared" si="2"/>
        <v>0.96</v>
      </c>
      <c r="N33" s="8" t="s">
        <v>21</v>
      </c>
      <c r="O33" s="13">
        <f>vlookup(N33,Interview_Slots!$A$1:$D$5,3,false)</f>
        <v>65</v>
      </c>
      <c r="P33" s="13">
        <f>vlookup(N33,Interview_Slots!$A$1:$D$5,4,false)</f>
        <v>75</v>
      </c>
      <c r="Q33" s="13" t="str">
        <f t="shared" si="3"/>
        <v>Eligible</v>
      </c>
      <c r="R33" s="7" t="s">
        <v>22</v>
      </c>
    </row>
    <row r="34" ht="15.75" customHeight="1">
      <c r="A34" s="8" t="s">
        <v>97</v>
      </c>
      <c r="B34" s="8" t="s">
        <v>59</v>
      </c>
      <c r="C34" s="8" t="s">
        <v>41</v>
      </c>
      <c r="D34" s="9" t="str">
        <f>vlookup(C34,Dept_Lookup!A$1:B$17,2,false)</f>
        <v>Mechanical</v>
      </c>
      <c r="E34" s="9">
        <v>45874.0</v>
      </c>
      <c r="F34" s="10">
        <f t="shared" si="1"/>
        <v>45874</v>
      </c>
      <c r="G34" s="8">
        <v>77.0</v>
      </c>
      <c r="H34" s="8">
        <v>90.0</v>
      </c>
      <c r="I34" s="8">
        <v>82.0</v>
      </c>
      <c r="J34" s="11">
        <f>G34*Scoring_Weights!B$2+H34*Scoring_Weights!B$3+I34*Scoring_Weights!B$4</f>
        <v>84.05</v>
      </c>
      <c r="K34" s="12">
        <v>0.79</v>
      </c>
      <c r="L34" s="8">
        <v>0.84</v>
      </c>
      <c r="M34" s="12">
        <f t="shared" si="2"/>
        <v>0.84</v>
      </c>
      <c r="N34" s="8" t="s">
        <v>21</v>
      </c>
      <c r="O34" s="13">
        <f>vlookup(N34,Interview_Slots!$A$1:$D$5,3,false)</f>
        <v>65</v>
      </c>
      <c r="P34" s="13">
        <f>vlookup(N34,Interview_Slots!$A$1:$D$5,4,false)</f>
        <v>75</v>
      </c>
      <c r="Q34" s="13" t="str">
        <f t="shared" si="3"/>
        <v>Eligible</v>
      </c>
      <c r="R34" s="7" t="s">
        <v>22</v>
      </c>
    </row>
    <row r="35" ht="15.75" customHeight="1">
      <c r="A35" s="8" t="s">
        <v>98</v>
      </c>
      <c r="B35" s="8" t="s">
        <v>99</v>
      </c>
      <c r="C35" s="8" t="s">
        <v>35</v>
      </c>
      <c r="D35" s="9" t="str">
        <f>vlookup(C35,Dept_Lookup!A$1:B$17,2,false)</f>
        <v>Electronics</v>
      </c>
      <c r="E35" s="14">
        <v>45900.0</v>
      </c>
      <c r="F35" s="10">
        <f t="shared" si="1"/>
        <v>45900</v>
      </c>
      <c r="G35" s="8">
        <v>62.0</v>
      </c>
      <c r="H35" s="8">
        <v>79.0</v>
      </c>
      <c r="I35" s="8">
        <v>94.0</v>
      </c>
      <c r="J35" s="11">
        <f>G35*Scoring_Weights!B$2+H35*Scoring_Weights!B$3+I35*Scoring_Weights!B$4</f>
        <v>83.95</v>
      </c>
      <c r="K35" s="12">
        <v>0.81</v>
      </c>
      <c r="L35" s="8">
        <v>0.79</v>
      </c>
      <c r="M35" s="12">
        <f t="shared" si="2"/>
        <v>0.79</v>
      </c>
      <c r="N35" s="8" t="s">
        <v>21</v>
      </c>
      <c r="O35" s="13">
        <f>vlookup(N35,Interview_Slots!$A$1:$D$5,3,false)</f>
        <v>65</v>
      </c>
      <c r="P35" s="13">
        <f>vlookup(N35,Interview_Slots!$A$1:$D$5,4,false)</f>
        <v>75</v>
      </c>
      <c r="Q35" s="13" t="str">
        <f t="shared" si="3"/>
        <v>Eligible</v>
      </c>
      <c r="R35" s="7" t="s">
        <v>22</v>
      </c>
    </row>
    <row r="36" ht="15.75" customHeight="1">
      <c r="A36" s="8" t="s">
        <v>100</v>
      </c>
      <c r="B36" s="8" t="s">
        <v>101</v>
      </c>
      <c r="C36" s="8" t="s">
        <v>102</v>
      </c>
      <c r="D36" s="9" t="str">
        <f>vlookup(C36,Dept_Lookup!A$1:B$17,2,false)</f>
        <v>Computer Science</v>
      </c>
      <c r="E36" s="14">
        <v>45882.0</v>
      </c>
      <c r="F36" s="10">
        <f t="shared" si="1"/>
        <v>45882</v>
      </c>
      <c r="G36" s="8">
        <v>90.0</v>
      </c>
      <c r="H36" s="8">
        <v>69.0</v>
      </c>
      <c r="I36" s="8">
        <v>92.0</v>
      </c>
      <c r="J36" s="11">
        <f>G36*Scoring_Weights!B$2+H36*Scoring_Weights!B$3+I36*Scoring_Weights!B$4</f>
        <v>83.65</v>
      </c>
      <c r="K36" s="12">
        <v>0.87</v>
      </c>
      <c r="L36" s="8">
        <v>0.96</v>
      </c>
      <c r="M36" s="12">
        <f t="shared" si="2"/>
        <v>0.96</v>
      </c>
      <c r="N36" s="8" t="s">
        <v>21</v>
      </c>
      <c r="O36" s="13">
        <f>vlookup(N36,Interview_Slots!$A$1:$D$5,3,false)</f>
        <v>65</v>
      </c>
      <c r="P36" s="13">
        <f>vlookup(N36,Interview_Slots!$A$1:$D$5,4,false)</f>
        <v>75</v>
      </c>
      <c r="Q36" s="13" t="str">
        <f t="shared" si="3"/>
        <v>Eligible</v>
      </c>
      <c r="R36" s="7" t="s">
        <v>22</v>
      </c>
    </row>
    <row r="37" ht="15.75" customHeight="1">
      <c r="A37" s="8" t="s">
        <v>103</v>
      </c>
      <c r="B37" s="8" t="s">
        <v>104</v>
      </c>
      <c r="C37" s="8" t="s">
        <v>105</v>
      </c>
      <c r="D37" s="9" t="str">
        <f>vlookup(C37,Dept_Lookup!A$1:B$17,2,false)</f>
        <v>Civil</v>
      </c>
      <c r="E37" s="14">
        <v>45900.0</v>
      </c>
      <c r="F37" s="10">
        <f t="shared" si="1"/>
        <v>45900</v>
      </c>
      <c r="G37" s="8">
        <v>94.0</v>
      </c>
      <c r="H37" s="8">
        <v>84.0</v>
      </c>
      <c r="I37" s="8">
        <v>80.0</v>
      </c>
      <c r="J37" s="11">
        <f>G37*Scoring_Weights!B$2+H37*Scoring_Weights!B$3+I37*Scoring_Weights!B$4</f>
        <v>83.5</v>
      </c>
      <c r="K37" s="12">
        <v>0.95</v>
      </c>
      <c r="L37" s="8">
        <v>0.76</v>
      </c>
      <c r="M37" s="12">
        <f t="shared" si="2"/>
        <v>0.76</v>
      </c>
      <c r="N37" s="8" t="s">
        <v>21</v>
      </c>
      <c r="O37" s="13">
        <f>vlookup(N37,Interview_Slots!$A$1:$D$5,3,false)</f>
        <v>65</v>
      </c>
      <c r="P37" s="13">
        <f>vlookup(N37,Interview_Slots!$A$1:$D$5,4,false)</f>
        <v>75</v>
      </c>
      <c r="Q37" s="13" t="str">
        <f t="shared" si="3"/>
        <v>Eligible</v>
      </c>
      <c r="R37" s="7" t="s">
        <v>22</v>
      </c>
    </row>
    <row r="38" ht="15.75" customHeight="1">
      <c r="A38" s="8" t="s">
        <v>106</v>
      </c>
      <c r="B38" s="8" t="s">
        <v>107</v>
      </c>
      <c r="C38" s="8" t="s">
        <v>108</v>
      </c>
      <c r="D38" s="9" t="str">
        <f>vlookup(C38,Dept_Lookup!A$1:B$17,2,false)</f>
        <v>Civil</v>
      </c>
      <c r="E38" s="14">
        <v>45854.0</v>
      </c>
      <c r="F38" s="10">
        <f t="shared" si="1"/>
        <v>45854</v>
      </c>
      <c r="G38" s="8">
        <v>83.0</v>
      </c>
      <c r="H38" s="8">
        <v>73.0</v>
      </c>
      <c r="I38" s="8">
        <v>91.0</v>
      </c>
      <c r="J38" s="11">
        <f>G38*Scoring_Weights!B$2+H38*Scoring_Weights!B$3+I38*Scoring_Weights!B$4</f>
        <v>83.5</v>
      </c>
      <c r="K38" s="12">
        <v>0.87</v>
      </c>
      <c r="L38" s="8">
        <v>0.97</v>
      </c>
      <c r="M38" s="12">
        <f t="shared" si="2"/>
        <v>0.97</v>
      </c>
      <c r="N38" s="8" t="s">
        <v>21</v>
      </c>
      <c r="O38" s="13">
        <f>vlookup(N38,Interview_Slots!$A$1:$D$5,3,false)</f>
        <v>65</v>
      </c>
      <c r="P38" s="13">
        <f>vlookup(N38,Interview_Slots!$A$1:$D$5,4,false)</f>
        <v>75</v>
      </c>
      <c r="Q38" s="13" t="str">
        <f t="shared" si="3"/>
        <v>Eligible</v>
      </c>
      <c r="R38" s="7" t="s">
        <v>22</v>
      </c>
    </row>
    <row r="39" ht="15.75" customHeight="1">
      <c r="A39" s="8" t="s">
        <v>109</v>
      </c>
      <c r="B39" s="8" t="s">
        <v>110</v>
      </c>
      <c r="C39" s="8" t="s">
        <v>41</v>
      </c>
      <c r="D39" s="9" t="str">
        <f>vlookup(C39,Dept_Lookup!A$1:B$17,2,false)</f>
        <v>Mechanical</v>
      </c>
      <c r="E39" s="14">
        <v>45895.0</v>
      </c>
      <c r="F39" s="10">
        <f t="shared" si="1"/>
        <v>45895</v>
      </c>
      <c r="G39" s="8">
        <v>92.0</v>
      </c>
      <c r="H39" s="8">
        <v>92.0</v>
      </c>
      <c r="I39" s="8">
        <v>75.0</v>
      </c>
      <c r="J39" s="11">
        <f>G39*Scoring_Weights!B$2+H39*Scoring_Weights!B$3+I39*Scoring_Weights!B$4</f>
        <v>83.5</v>
      </c>
      <c r="K39" s="12">
        <v>0.82</v>
      </c>
      <c r="L39" s="12">
        <v>0.81</v>
      </c>
      <c r="M39" s="12">
        <f t="shared" si="2"/>
        <v>0.81</v>
      </c>
      <c r="N39" s="8" t="s">
        <v>21</v>
      </c>
      <c r="O39" s="13">
        <f>vlookup(N39,Interview_Slots!$A$1:$D$5,3,false)</f>
        <v>65</v>
      </c>
      <c r="P39" s="13">
        <f>vlookup(N39,Interview_Slots!$A$1:$D$5,4,false)</f>
        <v>75</v>
      </c>
      <c r="Q39" s="13" t="str">
        <f t="shared" si="3"/>
        <v>Eligible</v>
      </c>
      <c r="R39" s="7" t="s">
        <v>22</v>
      </c>
    </row>
    <row r="40" ht="15.75" customHeight="1">
      <c r="A40" s="8" t="s">
        <v>111</v>
      </c>
      <c r="B40" s="8" t="s">
        <v>112</v>
      </c>
      <c r="C40" s="8" t="s">
        <v>35</v>
      </c>
      <c r="D40" s="9" t="str">
        <f>vlookup(C40,Dept_Lookup!A$1:B$17,2,false)</f>
        <v>Electronics</v>
      </c>
      <c r="E40" s="9">
        <v>45869.0</v>
      </c>
      <c r="F40" s="10">
        <f t="shared" si="1"/>
        <v>45869</v>
      </c>
      <c r="G40" s="8">
        <v>97.0</v>
      </c>
      <c r="H40" s="8">
        <v>70.0</v>
      </c>
      <c r="I40" s="8">
        <v>88.0</v>
      </c>
      <c r="J40" s="11">
        <f>G40*Scoring_Weights!B$2+H40*Scoring_Weights!B$3+I40*Scoring_Weights!B$4</f>
        <v>83.05</v>
      </c>
      <c r="K40" s="12">
        <v>0.92</v>
      </c>
      <c r="L40" s="8">
        <v>0.89</v>
      </c>
      <c r="M40" s="12">
        <f t="shared" si="2"/>
        <v>0.89</v>
      </c>
      <c r="N40" s="8" t="s">
        <v>21</v>
      </c>
      <c r="O40" s="13">
        <f>vlookup(N40,Interview_Slots!$A$1:$D$5,3,false)</f>
        <v>65</v>
      </c>
      <c r="P40" s="13">
        <f>vlookup(N40,Interview_Slots!$A$1:$D$5,4,false)</f>
        <v>75</v>
      </c>
      <c r="Q40" s="13" t="str">
        <f t="shared" si="3"/>
        <v>Eligible</v>
      </c>
      <c r="R40" s="7" t="s">
        <v>22</v>
      </c>
    </row>
    <row r="41" ht="15.75" customHeight="1">
      <c r="A41" s="8" t="s">
        <v>113</v>
      </c>
      <c r="B41" s="8" t="s">
        <v>114</v>
      </c>
      <c r="C41" s="8" t="s">
        <v>20</v>
      </c>
      <c r="D41" s="9" t="str">
        <f>vlookup(C41,Dept_Lookup!A$1:B$17,2,false)</f>
        <v>Electronics</v>
      </c>
      <c r="E41" s="14">
        <v>45865.0</v>
      </c>
      <c r="F41" s="10">
        <f t="shared" si="1"/>
        <v>45865</v>
      </c>
      <c r="G41" s="8">
        <v>97.0</v>
      </c>
      <c r="H41" s="8">
        <v>70.0</v>
      </c>
      <c r="I41" s="8">
        <v>88.0</v>
      </c>
      <c r="J41" s="11">
        <f>G41*Scoring_Weights!B$2+H41*Scoring_Weights!B$3+I41*Scoring_Weights!B$4</f>
        <v>83.05</v>
      </c>
      <c r="K41" s="12">
        <v>0.92</v>
      </c>
      <c r="L41" s="8">
        <v>0.89</v>
      </c>
      <c r="M41" s="12">
        <f t="shared" si="2"/>
        <v>0.89</v>
      </c>
      <c r="N41" s="8" t="s">
        <v>21</v>
      </c>
      <c r="O41" s="13">
        <f>vlookup(N41,Interview_Slots!$A$1:$D$5,3,false)</f>
        <v>65</v>
      </c>
      <c r="P41" s="13">
        <f>vlookup(N41,Interview_Slots!$A$1:$D$5,4,false)</f>
        <v>75</v>
      </c>
      <c r="Q41" s="13" t="str">
        <f t="shared" si="3"/>
        <v>Eligible</v>
      </c>
      <c r="R41" s="7" t="s">
        <v>22</v>
      </c>
    </row>
    <row r="42" ht="15.75" customHeight="1">
      <c r="A42" s="8" t="s">
        <v>115</v>
      </c>
      <c r="B42" s="8" t="s">
        <v>116</v>
      </c>
      <c r="C42" s="8" t="s">
        <v>38</v>
      </c>
      <c r="D42" s="9" t="str">
        <f>vlookup(C42,Dept_Lookup!A$1:B$17,2,false)</f>
        <v>Mechanical</v>
      </c>
      <c r="E42" s="14">
        <v>45900.0</v>
      </c>
      <c r="F42" s="10">
        <f t="shared" si="1"/>
        <v>45900</v>
      </c>
      <c r="G42" s="8">
        <v>77.0</v>
      </c>
      <c r="H42" s="8">
        <v>84.0</v>
      </c>
      <c r="I42" s="8">
        <v>84.0</v>
      </c>
      <c r="J42" s="11">
        <f>G42*Scoring_Weights!B$2+H42*Scoring_Weights!B$3+I42*Scoring_Weights!B$4</f>
        <v>82.95</v>
      </c>
      <c r="K42" s="12">
        <v>0.81</v>
      </c>
      <c r="L42" s="8">
        <v>0.91</v>
      </c>
      <c r="M42" s="12">
        <f t="shared" si="2"/>
        <v>0.91</v>
      </c>
      <c r="N42" s="8" t="s">
        <v>21</v>
      </c>
      <c r="O42" s="13">
        <f>vlookup(N42,Interview_Slots!$A$1:$D$5,3,false)</f>
        <v>65</v>
      </c>
      <c r="P42" s="13">
        <f>vlookup(N42,Interview_Slots!$A$1:$D$5,4,false)</f>
        <v>75</v>
      </c>
      <c r="Q42" s="13" t="str">
        <f t="shared" si="3"/>
        <v>Eligible</v>
      </c>
      <c r="R42" s="7" t="s">
        <v>22</v>
      </c>
    </row>
    <row r="43" ht="15.75" customHeight="1">
      <c r="A43" s="8" t="s">
        <v>117</v>
      </c>
      <c r="B43" s="8" t="s">
        <v>118</v>
      </c>
      <c r="C43" s="8" t="s">
        <v>108</v>
      </c>
      <c r="D43" s="9" t="str">
        <f>vlookup(C43,Dept_Lookup!A$1:B$17,2,false)</f>
        <v>Civil</v>
      </c>
      <c r="E43" s="14">
        <v>45874.0</v>
      </c>
      <c r="F43" s="10">
        <f t="shared" si="1"/>
        <v>45874</v>
      </c>
      <c r="G43" s="8">
        <v>83.0</v>
      </c>
      <c r="H43" s="8">
        <v>77.0</v>
      </c>
      <c r="I43" s="8">
        <v>87.0</v>
      </c>
      <c r="J43" s="11">
        <f>G43*Scoring_Weights!B$2+H43*Scoring_Weights!B$3+I43*Scoring_Weights!B$4</f>
        <v>82.9</v>
      </c>
      <c r="K43" s="12">
        <v>0.91</v>
      </c>
      <c r="L43" s="8">
        <v>0.8</v>
      </c>
      <c r="M43" s="12">
        <f t="shared" si="2"/>
        <v>0.8</v>
      </c>
      <c r="N43" s="8" t="s">
        <v>21</v>
      </c>
      <c r="O43" s="13">
        <f>vlookup(N43,Interview_Slots!$A$1:$D$5,3,false)</f>
        <v>65</v>
      </c>
      <c r="P43" s="13">
        <f>vlookup(N43,Interview_Slots!$A$1:$D$5,4,false)</f>
        <v>75</v>
      </c>
      <c r="Q43" s="13" t="str">
        <f t="shared" si="3"/>
        <v>Eligible</v>
      </c>
      <c r="R43" s="7" t="s">
        <v>22</v>
      </c>
    </row>
    <row r="44" ht="15.75" customHeight="1">
      <c r="A44" s="8" t="s">
        <v>119</v>
      </c>
      <c r="B44" s="8" t="s">
        <v>120</v>
      </c>
      <c r="C44" s="8" t="s">
        <v>41</v>
      </c>
      <c r="D44" s="9" t="str">
        <f>vlookup(C44,Dept_Lookup!A$1:B$17,2,false)</f>
        <v>Mechanical</v>
      </c>
      <c r="E44" s="14">
        <v>45900.0</v>
      </c>
      <c r="F44" s="10">
        <f t="shared" si="1"/>
        <v>45900</v>
      </c>
      <c r="G44" s="8">
        <v>73.0</v>
      </c>
      <c r="H44" s="8">
        <v>79.0</v>
      </c>
      <c r="I44" s="8">
        <v>87.0</v>
      </c>
      <c r="J44" s="11">
        <f>G44*Scoring_Weights!B$2+H44*Scoring_Weights!B$3+I44*Scoring_Weights!B$4</f>
        <v>82.1</v>
      </c>
      <c r="K44" s="12">
        <v>0.91</v>
      </c>
      <c r="L44" s="8">
        <v>0.89</v>
      </c>
      <c r="M44" s="12">
        <f t="shared" si="2"/>
        <v>0.89</v>
      </c>
      <c r="N44" s="8" t="s">
        <v>21</v>
      </c>
      <c r="O44" s="13">
        <f>vlookup(N44,Interview_Slots!$A$1:$D$5,3,false)</f>
        <v>65</v>
      </c>
      <c r="P44" s="13">
        <f>vlookup(N44,Interview_Slots!$A$1:$D$5,4,false)</f>
        <v>75</v>
      </c>
      <c r="Q44" s="13" t="str">
        <f t="shared" si="3"/>
        <v>Eligible</v>
      </c>
      <c r="R44" s="7" t="s">
        <v>22</v>
      </c>
    </row>
    <row r="45" ht="15.75" customHeight="1">
      <c r="A45" s="8" t="s">
        <v>121</v>
      </c>
      <c r="B45" s="8" t="s">
        <v>122</v>
      </c>
      <c r="C45" s="8" t="s">
        <v>44</v>
      </c>
      <c r="D45" s="9" t="str">
        <f>vlookup(C45,Dept_Lookup!A$1:B$17,2,false)</f>
        <v>Computer Science</v>
      </c>
      <c r="E45" s="14">
        <v>45913.0</v>
      </c>
      <c r="F45" s="10">
        <f t="shared" si="1"/>
        <v>45913</v>
      </c>
      <c r="G45" s="8">
        <v>88.0</v>
      </c>
      <c r="H45" s="8">
        <v>68.0</v>
      </c>
      <c r="I45" s="8">
        <v>90.0</v>
      </c>
      <c r="J45" s="11">
        <f>G45*Scoring_Weights!B$2+H45*Scoring_Weights!B$3+I45*Scoring_Weights!B$4</f>
        <v>82</v>
      </c>
      <c r="K45" s="12">
        <v>0.76</v>
      </c>
      <c r="L45" s="12">
        <v>0.98</v>
      </c>
      <c r="M45" s="12">
        <f t="shared" si="2"/>
        <v>0.98</v>
      </c>
      <c r="N45" s="8" t="s">
        <v>21</v>
      </c>
      <c r="O45" s="13">
        <f>vlookup(N45,Interview_Slots!$A$1:$D$5,3,false)</f>
        <v>65</v>
      </c>
      <c r="P45" s="13">
        <f>vlookup(N45,Interview_Slots!$A$1:$D$5,4,false)</f>
        <v>75</v>
      </c>
      <c r="Q45" s="13" t="str">
        <f t="shared" si="3"/>
        <v>Eligible</v>
      </c>
      <c r="R45" s="7" t="s">
        <v>22</v>
      </c>
    </row>
    <row r="46" ht="15.75" customHeight="1">
      <c r="A46" s="8" t="s">
        <v>123</v>
      </c>
      <c r="B46" s="8" t="s">
        <v>124</v>
      </c>
      <c r="C46" s="8" t="s">
        <v>50</v>
      </c>
      <c r="D46" s="9" t="str">
        <f>vlookup(C46,Dept_Lookup!A$1:B$17,2,false)</f>
        <v>Electronics</v>
      </c>
      <c r="E46" s="8" t="s">
        <v>92</v>
      </c>
      <c r="F46" s="10">
        <f t="shared" si="1"/>
        <v>45898</v>
      </c>
      <c r="G46" s="8">
        <v>70.0</v>
      </c>
      <c r="H46" s="8">
        <v>81.0</v>
      </c>
      <c r="I46" s="8">
        <v>86.0</v>
      </c>
      <c r="J46" s="11">
        <f>G46*Scoring_Weights!B$2+H46*Scoring_Weights!B$3+I46*Scoring_Weights!B$4</f>
        <v>81.85</v>
      </c>
      <c r="K46" s="12">
        <v>0.82</v>
      </c>
      <c r="L46" s="8">
        <v>0.97</v>
      </c>
      <c r="M46" s="12">
        <f t="shared" si="2"/>
        <v>0.97</v>
      </c>
      <c r="N46" s="8" t="s">
        <v>21</v>
      </c>
      <c r="O46" s="13">
        <f>vlookup(N46,Interview_Slots!$A$1:$D$5,3,false)</f>
        <v>65</v>
      </c>
      <c r="P46" s="13">
        <f>vlookup(N46,Interview_Slots!$A$1:$D$5,4,false)</f>
        <v>75</v>
      </c>
      <c r="Q46" s="13" t="str">
        <f t="shared" si="3"/>
        <v>Eligible</v>
      </c>
      <c r="R46" s="7" t="s">
        <v>22</v>
      </c>
    </row>
    <row r="47" ht="15.75" customHeight="1">
      <c r="A47" s="8" t="s">
        <v>125</v>
      </c>
      <c r="B47" s="8" t="s">
        <v>126</v>
      </c>
      <c r="C47" s="8" t="s">
        <v>105</v>
      </c>
      <c r="D47" s="9" t="str">
        <f>vlookup(C47,Dept_Lookup!A$1:B$17,2,false)</f>
        <v>Civil</v>
      </c>
      <c r="E47" s="9">
        <v>45878.0</v>
      </c>
      <c r="F47" s="10">
        <f t="shared" si="1"/>
        <v>45878</v>
      </c>
      <c r="G47" s="8">
        <v>95.0</v>
      </c>
      <c r="H47" s="8">
        <v>75.0</v>
      </c>
      <c r="I47" s="8">
        <v>82.0</v>
      </c>
      <c r="J47" s="11">
        <f>G47*Scoring_Weights!B$2+H47*Scoring_Weights!B$3+I47*Scoring_Weights!B$4</f>
        <v>81.5</v>
      </c>
      <c r="K47" s="12">
        <v>0.89</v>
      </c>
      <c r="L47" s="8">
        <v>0.99</v>
      </c>
      <c r="M47" s="12">
        <f t="shared" si="2"/>
        <v>0.99</v>
      </c>
      <c r="N47" s="8" t="s">
        <v>21</v>
      </c>
      <c r="O47" s="13">
        <f>vlookup(N47,Interview_Slots!$A$1:$D$5,3,false)</f>
        <v>65</v>
      </c>
      <c r="P47" s="13">
        <f>vlookup(N47,Interview_Slots!$A$1:$D$5,4,false)</f>
        <v>75</v>
      </c>
      <c r="Q47" s="13" t="str">
        <f t="shared" si="3"/>
        <v>Eligible</v>
      </c>
      <c r="R47" s="7" t="s">
        <v>22</v>
      </c>
    </row>
    <row r="48" ht="15.75" customHeight="1">
      <c r="A48" s="8" t="s">
        <v>127</v>
      </c>
      <c r="B48" s="8" t="s">
        <v>128</v>
      </c>
      <c r="C48" s="8" t="s">
        <v>72</v>
      </c>
      <c r="D48" s="9" t="str">
        <f>vlookup(C48,Dept_Lookup!A$1:B$17,2,false)</f>
        <v>Mechanical</v>
      </c>
      <c r="E48" s="14">
        <v>45842.0</v>
      </c>
      <c r="F48" s="10">
        <f t="shared" si="1"/>
        <v>45842</v>
      </c>
      <c r="G48" s="8">
        <v>90.0</v>
      </c>
      <c r="H48" s="8">
        <v>62.0</v>
      </c>
      <c r="I48" s="8">
        <v>92.0</v>
      </c>
      <c r="J48" s="11">
        <f>G48*Scoring_Weights!B$2+H48*Scoring_Weights!B$3+I48*Scoring_Weights!B$4</f>
        <v>81.2</v>
      </c>
      <c r="K48" s="12">
        <v>0.82</v>
      </c>
      <c r="L48" s="8">
        <v>0.99</v>
      </c>
      <c r="M48" s="12">
        <f t="shared" si="2"/>
        <v>0.99</v>
      </c>
      <c r="N48" s="8" t="s">
        <v>21</v>
      </c>
      <c r="O48" s="13">
        <f>vlookup(N48,Interview_Slots!$A$1:$D$5,3,false)</f>
        <v>65</v>
      </c>
      <c r="P48" s="13">
        <f>vlookup(N48,Interview_Slots!$A$1:$D$5,4,false)</f>
        <v>75</v>
      </c>
      <c r="Q48" s="13" t="str">
        <f t="shared" si="3"/>
        <v>Eligible</v>
      </c>
      <c r="R48" s="7" t="s">
        <v>22</v>
      </c>
    </row>
    <row r="49" ht="15.75" customHeight="1">
      <c r="A49" s="8" t="s">
        <v>129</v>
      </c>
      <c r="B49" s="8" t="s">
        <v>130</v>
      </c>
      <c r="C49" s="8" t="s">
        <v>25</v>
      </c>
      <c r="D49" s="9" t="str">
        <f>vlookup(C49,Dept_Lookup!A$1:B$17,2,false)</f>
        <v>Computer Science</v>
      </c>
      <c r="E49" s="14">
        <v>45865.0</v>
      </c>
      <c r="F49" s="10">
        <f t="shared" si="1"/>
        <v>45865</v>
      </c>
      <c r="G49" s="8">
        <v>72.0</v>
      </c>
      <c r="H49" s="8">
        <v>94.0</v>
      </c>
      <c r="I49" s="8">
        <v>75.0</v>
      </c>
      <c r="J49" s="11">
        <f>G49*Scoring_Weights!B$2+H49*Scoring_Weights!B$3+I49*Scoring_Weights!B$4</f>
        <v>81.2</v>
      </c>
      <c r="K49" s="12">
        <v>0.93</v>
      </c>
      <c r="L49" s="8">
        <v>0.93</v>
      </c>
      <c r="M49" s="12">
        <f t="shared" si="2"/>
        <v>0.93</v>
      </c>
      <c r="N49" s="8" t="s">
        <v>21</v>
      </c>
      <c r="O49" s="13">
        <f>vlookup(N49,Interview_Slots!$A$1:$D$5,3,false)</f>
        <v>65</v>
      </c>
      <c r="P49" s="13">
        <f>vlookup(N49,Interview_Slots!$A$1:$D$5,4,false)</f>
        <v>75</v>
      </c>
      <c r="Q49" s="13" t="str">
        <f t="shared" si="3"/>
        <v>Eligible</v>
      </c>
      <c r="R49" s="7" t="s">
        <v>22</v>
      </c>
    </row>
    <row r="50" ht="15.75" customHeight="1">
      <c r="A50" s="8" t="s">
        <v>131</v>
      </c>
      <c r="B50" s="8" t="s">
        <v>132</v>
      </c>
      <c r="C50" s="8" t="s">
        <v>20</v>
      </c>
      <c r="D50" s="9" t="str">
        <f>vlookup(C50,Dept_Lookup!A$1:B$17,2,false)</f>
        <v>Electronics</v>
      </c>
      <c r="E50" s="14">
        <v>45880.0</v>
      </c>
      <c r="F50" s="10">
        <f t="shared" si="1"/>
        <v>45880</v>
      </c>
      <c r="G50" s="8">
        <v>55.0</v>
      </c>
      <c r="H50" s="8">
        <v>71.0</v>
      </c>
      <c r="I50" s="8">
        <v>92.0</v>
      </c>
      <c r="J50" s="11">
        <f>G50*Scoring_Weights!B$2+H50*Scoring_Weights!B$3+I50*Scoring_Weights!B$4</f>
        <v>79.1</v>
      </c>
      <c r="K50" s="12">
        <v>0.82</v>
      </c>
      <c r="L50" s="8">
        <v>0.81</v>
      </c>
      <c r="M50" s="12">
        <f t="shared" si="2"/>
        <v>0.81</v>
      </c>
      <c r="N50" s="8" t="s">
        <v>21</v>
      </c>
      <c r="O50" s="13">
        <f>vlookup(N50,Interview_Slots!$A$1:$D$5,3,false)</f>
        <v>65</v>
      </c>
      <c r="P50" s="13">
        <f>vlookup(N50,Interview_Slots!$A$1:$D$5,4,false)</f>
        <v>75</v>
      </c>
      <c r="Q50" s="13" t="str">
        <f t="shared" si="3"/>
        <v>Eligible</v>
      </c>
      <c r="R50" s="7" t="s">
        <v>22</v>
      </c>
    </row>
    <row r="51" ht="15.75" customHeight="1">
      <c r="A51" s="8" t="s">
        <v>133</v>
      </c>
      <c r="B51" s="8" t="s">
        <v>134</v>
      </c>
      <c r="C51" s="8" t="s">
        <v>72</v>
      </c>
      <c r="D51" s="9" t="str">
        <f>vlookup(C51,Dept_Lookup!A$1:B$17,2,false)</f>
        <v>Mechanical</v>
      </c>
      <c r="E51" s="9">
        <v>45893.0</v>
      </c>
      <c r="F51" s="10">
        <f t="shared" si="1"/>
        <v>45893</v>
      </c>
      <c r="G51" s="8">
        <v>69.0</v>
      </c>
      <c r="H51" s="8">
        <v>73.0</v>
      </c>
      <c r="I51" s="8">
        <v>86.0</v>
      </c>
      <c r="J51" s="11">
        <f>G51*Scoring_Weights!B$2+H51*Scoring_Weights!B$3+I51*Scoring_Weights!B$4</f>
        <v>78.9</v>
      </c>
      <c r="K51" s="12">
        <v>0.85</v>
      </c>
      <c r="L51" s="8">
        <v>0.84</v>
      </c>
      <c r="M51" s="12">
        <f t="shared" si="2"/>
        <v>0.84</v>
      </c>
      <c r="N51" s="8" t="s">
        <v>21</v>
      </c>
      <c r="O51" s="13">
        <f>vlookup(N51,Interview_Slots!$A$1:$D$5,3,false)</f>
        <v>65</v>
      </c>
      <c r="P51" s="13">
        <f>vlookup(N51,Interview_Slots!$A$1:$D$5,4,false)</f>
        <v>75</v>
      </c>
      <c r="Q51" s="13" t="str">
        <f t="shared" si="3"/>
        <v>Eligible</v>
      </c>
      <c r="R51" s="7" t="s">
        <v>22</v>
      </c>
    </row>
    <row r="52" ht="15.75" customHeight="1">
      <c r="A52" s="8" t="s">
        <v>135</v>
      </c>
      <c r="B52" s="8" t="s">
        <v>136</v>
      </c>
      <c r="C52" s="8" t="s">
        <v>57</v>
      </c>
      <c r="D52" s="9" t="str">
        <f>vlookup(C52,Dept_Lookup!A$1:B$17,2,false)</f>
        <v>Computer Science</v>
      </c>
      <c r="E52" s="9">
        <v>45870.0</v>
      </c>
      <c r="F52" s="10">
        <f t="shared" si="1"/>
        <v>45870</v>
      </c>
      <c r="G52" s="8">
        <v>82.0</v>
      </c>
      <c r="H52" s="8">
        <v>66.0</v>
      </c>
      <c r="I52" s="8">
        <v>87.0</v>
      </c>
      <c r="J52" s="11">
        <f>G52*Scoring_Weights!B$2+H52*Scoring_Weights!B$3+I52*Scoring_Weights!B$4</f>
        <v>78.9</v>
      </c>
      <c r="K52" s="12">
        <v>0.81</v>
      </c>
      <c r="L52" s="8">
        <v>0.94</v>
      </c>
      <c r="M52" s="12">
        <f t="shared" si="2"/>
        <v>0.94</v>
      </c>
      <c r="N52" s="8" t="s">
        <v>21</v>
      </c>
      <c r="O52" s="13">
        <f>vlookup(N52,Interview_Slots!$A$1:$D$5,3,false)</f>
        <v>65</v>
      </c>
      <c r="P52" s="13">
        <f>vlookup(N52,Interview_Slots!$A$1:$D$5,4,false)</f>
        <v>75</v>
      </c>
      <c r="Q52" s="13" t="str">
        <f t="shared" si="3"/>
        <v>Eligible</v>
      </c>
      <c r="R52" s="7" t="s">
        <v>22</v>
      </c>
    </row>
    <row r="53" ht="15.75" customHeight="1">
      <c r="A53" s="8" t="s">
        <v>137</v>
      </c>
      <c r="B53" s="8" t="s">
        <v>138</v>
      </c>
      <c r="C53" s="8" t="s">
        <v>28</v>
      </c>
      <c r="D53" s="9" t="str">
        <f>vlookup(C53,Dept_Lookup!A$1:B$17,2,false)</f>
        <v>Electronics</v>
      </c>
      <c r="E53" s="14">
        <v>45913.0</v>
      </c>
      <c r="F53" s="10">
        <f t="shared" si="1"/>
        <v>45913</v>
      </c>
      <c r="G53" s="8">
        <v>57.0</v>
      </c>
      <c r="H53" s="8">
        <v>85.0</v>
      </c>
      <c r="I53" s="8">
        <v>81.0</v>
      </c>
      <c r="J53" s="11">
        <f>G53*Scoring_Weights!B$2+H53*Scoring_Weights!B$3+I53*Scoring_Weights!B$4</f>
        <v>78.8</v>
      </c>
      <c r="K53" s="12">
        <v>0.86</v>
      </c>
      <c r="L53" s="8">
        <v>0.83</v>
      </c>
      <c r="M53" s="12">
        <f t="shared" si="2"/>
        <v>0.83</v>
      </c>
      <c r="N53" s="8" t="s">
        <v>21</v>
      </c>
      <c r="O53" s="13">
        <f>vlookup(N53,Interview_Slots!$A$1:$D$5,3,false)</f>
        <v>65</v>
      </c>
      <c r="P53" s="13">
        <f>vlookup(N53,Interview_Slots!$A$1:$D$5,4,false)</f>
        <v>75</v>
      </c>
      <c r="Q53" s="13" t="str">
        <f t="shared" si="3"/>
        <v>Eligible</v>
      </c>
      <c r="R53" s="7" t="s">
        <v>22</v>
      </c>
    </row>
    <row r="54" ht="15.75" customHeight="1">
      <c r="A54" s="8" t="s">
        <v>139</v>
      </c>
      <c r="B54" s="8" t="s">
        <v>140</v>
      </c>
      <c r="C54" s="8" t="s">
        <v>105</v>
      </c>
      <c r="D54" s="9" t="str">
        <f>vlookup(C54,Dept_Lookup!A$1:B$17,2,false)</f>
        <v>Civil</v>
      </c>
      <c r="E54" s="14">
        <v>45842.0</v>
      </c>
      <c r="F54" s="10">
        <f t="shared" si="1"/>
        <v>45842</v>
      </c>
      <c r="G54" s="8">
        <v>86.0</v>
      </c>
      <c r="H54" s="8">
        <v>75.0</v>
      </c>
      <c r="I54" s="8">
        <v>79.0</v>
      </c>
      <c r="J54" s="11">
        <f>G54*Scoring_Weights!B$2+H54*Scoring_Weights!B$3+I54*Scoring_Weights!B$4</f>
        <v>78.65</v>
      </c>
      <c r="K54" s="12">
        <v>0.77</v>
      </c>
      <c r="L54" s="8">
        <v>0.75</v>
      </c>
      <c r="M54" s="12">
        <f t="shared" si="2"/>
        <v>0.75</v>
      </c>
      <c r="N54" s="8" t="s">
        <v>21</v>
      </c>
      <c r="O54" s="13">
        <f>vlookup(N54,Interview_Slots!$A$1:$D$5,3,false)</f>
        <v>65</v>
      </c>
      <c r="P54" s="13">
        <f>vlookup(N54,Interview_Slots!$A$1:$D$5,4,false)</f>
        <v>75</v>
      </c>
      <c r="Q54" s="13" t="str">
        <f t="shared" si="3"/>
        <v>Eligible</v>
      </c>
      <c r="R54" s="7" t="s">
        <v>22</v>
      </c>
    </row>
    <row r="55" ht="15.75" customHeight="1">
      <c r="A55" s="8" t="s">
        <v>141</v>
      </c>
      <c r="B55" s="8" t="s">
        <v>142</v>
      </c>
      <c r="C55" s="8" t="s">
        <v>28</v>
      </c>
      <c r="D55" s="9" t="str">
        <f>vlookup(C55,Dept_Lookup!A$1:B$17,2,false)</f>
        <v>Electronics</v>
      </c>
      <c r="E55" s="9">
        <v>45887.0</v>
      </c>
      <c r="F55" s="10">
        <f t="shared" si="1"/>
        <v>45887</v>
      </c>
      <c r="G55" s="8">
        <v>59.0</v>
      </c>
      <c r="H55" s="8">
        <v>87.0</v>
      </c>
      <c r="I55" s="8">
        <v>78.0</v>
      </c>
      <c r="J55" s="11">
        <f>G55*Scoring_Weights!B$2+H55*Scoring_Weights!B$3+I55*Scoring_Weights!B$4</f>
        <v>78.3</v>
      </c>
      <c r="K55" s="12">
        <v>0.9</v>
      </c>
      <c r="L55" s="15">
        <v>0.73</v>
      </c>
      <c r="M55" s="12">
        <f t="shared" si="2"/>
        <v>0.73</v>
      </c>
      <c r="N55" s="8" t="s">
        <v>21</v>
      </c>
      <c r="O55" s="13">
        <f>vlookup(N55,Interview_Slots!$A$1:$D$5,3,false)</f>
        <v>65</v>
      </c>
      <c r="P55" s="13">
        <f>vlookup(N55,Interview_Slots!$A$1:$D$5,4,false)</f>
        <v>75</v>
      </c>
      <c r="Q55" s="13" t="str">
        <f t="shared" si="3"/>
        <v>Eligible</v>
      </c>
      <c r="R55" s="7" t="s">
        <v>22</v>
      </c>
    </row>
    <row r="56" ht="15.75" customHeight="1">
      <c r="A56" s="8" t="s">
        <v>143</v>
      </c>
      <c r="B56" s="8" t="s">
        <v>144</v>
      </c>
      <c r="C56" s="8" t="s">
        <v>83</v>
      </c>
      <c r="D56" s="9" t="str">
        <f>vlookup(C56,Dept_Lookup!A$1:B$17,2,false)</f>
        <v>Civil</v>
      </c>
      <c r="E56" s="9">
        <v>45887.0</v>
      </c>
      <c r="F56" s="10">
        <f t="shared" si="1"/>
        <v>45887</v>
      </c>
      <c r="G56" s="8">
        <v>67.0</v>
      </c>
      <c r="H56" s="8">
        <v>63.0</v>
      </c>
      <c r="I56" s="8">
        <v>92.0</v>
      </c>
      <c r="J56" s="11">
        <f>G56*Scoring_Weights!B$2+H56*Scoring_Weights!B$3+I56*Scoring_Weights!B$4</f>
        <v>78.1</v>
      </c>
      <c r="K56" s="12">
        <v>0.88</v>
      </c>
      <c r="L56" s="8">
        <v>0.79</v>
      </c>
      <c r="M56" s="12">
        <f t="shared" si="2"/>
        <v>0.79</v>
      </c>
      <c r="N56" s="8" t="s">
        <v>21</v>
      </c>
      <c r="O56" s="13">
        <f>vlookup(N56,Interview_Slots!$A$1:$D$5,3,false)</f>
        <v>65</v>
      </c>
      <c r="P56" s="13">
        <f>vlookup(N56,Interview_Slots!$A$1:$D$5,4,false)</f>
        <v>75</v>
      </c>
      <c r="Q56" s="13" t="str">
        <f t="shared" si="3"/>
        <v>Eligible</v>
      </c>
      <c r="R56" s="7" t="s">
        <v>22</v>
      </c>
    </row>
    <row r="57" ht="15.75" customHeight="1">
      <c r="A57" s="8" t="s">
        <v>145</v>
      </c>
      <c r="B57" s="8" t="s">
        <v>146</v>
      </c>
      <c r="C57" s="8" t="s">
        <v>41</v>
      </c>
      <c r="D57" s="9" t="str">
        <f>vlookup(C57,Dept_Lookup!A$1:B$17,2,false)</f>
        <v>Mechanical</v>
      </c>
      <c r="E57" s="14">
        <v>45865.0</v>
      </c>
      <c r="F57" s="10">
        <f t="shared" si="1"/>
        <v>45865</v>
      </c>
      <c r="G57" s="8">
        <v>66.0</v>
      </c>
      <c r="H57" s="8">
        <v>76.0</v>
      </c>
      <c r="I57" s="8">
        <v>83.0</v>
      </c>
      <c r="J57" s="11">
        <f>G57*Scoring_Weights!B$2+H57*Scoring_Weights!B$3+I57*Scoring_Weights!B$4</f>
        <v>78</v>
      </c>
      <c r="K57" s="12">
        <v>0.75</v>
      </c>
      <c r="L57" s="12">
        <v>0.81</v>
      </c>
      <c r="M57" s="12">
        <f t="shared" si="2"/>
        <v>0.81</v>
      </c>
      <c r="N57" s="8" t="s">
        <v>21</v>
      </c>
      <c r="O57" s="13">
        <f>vlookup(N57,Interview_Slots!$A$1:$D$5,3,false)</f>
        <v>65</v>
      </c>
      <c r="P57" s="13">
        <f>vlookup(N57,Interview_Slots!$A$1:$D$5,4,false)</f>
        <v>75</v>
      </c>
      <c r="Q57" s="13" t="str">
        <f t="shared" si="3"/>
        <v>Eligible</v>
      </c>
      <c r="R57" s="7" t="s">
        <v>22</v>
      </c>
    </row>
    <row r="58" ht="15.75" customHeight="1">
      <c r="A58" s="8" t="s">
        <v>147</v>
      </c>
      <c r="B58" s="8" t="s">
        <v>148</v>
      </c>
      <c r="C58" s="8" t="s">
        <v>72</v>
      </c>
      <c r="D58" s="9" t="str">
        <f>vlookup(C58,Dept_Lookup!A$1:B$17,2,false)</f>
        <v>Mechanical</v>
      </c>
      <c r="E58" s="14">
        <v>45882.0</v>
      </c>
      <c r="F58" s="10">
        <f t="shared" si="1"/>
        <v>45882</v>
      </c>
      <c r="G58" s="8">
        <v>79.0</v>
      </c>
      <c r="H58" s="8">
        <v>65.0</v>
      </c>
      <c r="I58" s="8">
        <v>86.0</v>
      </c>
      <c r="J58" s="11">
        <f>G58*Scoring_Weights!B$2+H58*Scoring_Weights!B$3+I58*Scoring_Weights!B$4</f>
        <v>77.6</v>
      </c>
      <c r="K58" s="12">
        <v>0.9</v>
      </c>
      <c r="L58" s="8">
        <v>0.95</v>
      </c>
      <c r="M58" s="12">
        <f t="shared" si="2"/>
        <v>0.95</v>
      </c>
      <c r="N58" s="8" t="s">
        <v>21</v>
      </c>
      <c r="O58" s="13">
        <f>vlookup(N58,Interview_Slots!$A$1:$D$5,3,false)</f>
        <v>65</v>
      </c>
      <c r="P58" s="13">
        <f>vlookup(N58,Interview_Slots!$A$1:$D$5,4,false)</f>
        <v>75</v>
      </c>
      <c r="Q58" s="13" t="str">
        <f t="shared" si="3"/>
        <v>Eligible</v>
      </c>
      <c r="R58" s="7" t="s">
        <v>22</v>
      </c>
    </row>
    <row r="59" ht="15.75" customHeight="1">
      <c r="A59" s="8" t="s">
        <v>149</v>
      </c>
      <c r="B59" s="8" t="s">
        <v>150</v>
      </c>
      <c r="C59" s="8" t="s">
        <v>28</v>
      </c>
      <c r="D59" s="9" t="str">
        <f>vlookup(C59,Dept_Lookup!A$1:B$17,2,false)</f>
        <v>Electronics</v>
      </c>
      <c r="E59" s="14">
        <v>45880.0</v>
      </c>
      <c r="F59" s="10">
        <f t="shared" si="1"/>
        <v>45880</v>
      </c>
      <c r="G59" s="8">
        <v>95.0</v>
      </c>
      <c r="H59" s="8">
        <v>68.0</v>
      </c>
      <c r="I59" s="8">
        <v>79.0</v>
      </c>
      <c r="J59" s="11">
        <f>G59*Scoring_Weights!B$2+H59*Scoring_Weights!B$3+I59*Scoring_Weights!B$4</f>
        <v>77.55</v>
      </c>
      <c r="K59" s="12">
        <v>0.91</v>
      </c>
      <c r="L59" s="12">
        <v>0.96</v>
      </c>
      <c r="M59" s="12">
        <f t="shared" si="2"/>
        <v>0.96</v>
      </c>
      <c r="N59" s="8" t="s">
        <v>21</v>
      </c>
      <c r="O59" s="13">
        <f>vlookup(N59,Interview_Slots!$A$1:$D$5,3,false)</f>
        <v>65</v>
      </c>
      <c r="P59" s="13">
        <f>vlookup(N59,Interview_Slots!$A$1:$D$5,4,false)</f>
        <v>75</v>
      </c>
      <c r="Q59" s="13" t="str">
        <f t="shared" si="3"/>
        <v>Eligible</v>
      </c>
      <c r="R59" s="7" t="s">
        <v>22</v>
      </c>
    </row>
    <row r="60" ht="15.75" hidden="1" customHeight="1">
      <c r="A60" s="8" t="s">
        <v>151</v>
      </c>
      <c r="B60" s="8" t="s">
        <v>152</v>
      </c>
      <c r="C60" s="8" t="s">
        <v>47</v>
      </c>
      <c r="D60" s="9" t="str">
        <f>vlookup(C60,Dept_Lookup!A$1:B$17,2,false)</f>
        <v>Civil</v>
      </c>
      <c r="E60" s="9">
        <v>45866.0</v>
      </c>
      <c r="F60" s="10">
        <f t="shared" si="1"/>
        <v>45866</v>
      </c>
      <c r="G60" s="8">
        <v>83.0</v>
      </c>
      <c r="H60" s="8">
        <v>57.0</v>
      </c>
      <c r="I60" s="8">
        <v>90.0</v>
      </c>
      <c r="J60" s="11">
        <f>G60*Scoring_Weights!B$2+H60*Scoring_Weights!B$3+I60*Scoring_Weights!B$4</f>
        <v>77.4</v>
      </c>
      <c r="K60" s="12">
        <v>0.61</v>
      </c>
      <c r="L60" s="12">
        <v>0.73</v>
      </c>
      <c r="M60" s="12">
        <f t="shared" si="2"/>
        <v>0.73</v>
      </c>
      <c r="N60" s="8" t="s">
        <v>21</v>
      </c>
      <c r="O60" s="13">
        <f>vlookup(N60,Interview_Slots!$A$1:$D$5,3,false)</f>
        <v>65</v>
      </c>
      <c r="P60" s="13">
        <f>vlookup(N60,Interview_Slots!$A$1:$D$5,4,false)</f>
        <v>75</v>
      </c>
      <c r="Q60" s="13" t="str">
        <f t="shared" si="3"/>
        <v>Not Eligible</v>
      </c>
    </row>
    <row r="61" ht="15.75" customHeight="1">
      <c r="A61" s="8" t="s">
        <v>153</v>
      </c>
      <c r="B61" s="8" t="s">
        <v>154</v>
      </c>
      <c r="C61" s="8" t="s">
        <v>20</v>
      </c>
      <c r="D61" s="9" t="str">
        <f>vlookup(C61,Dept_Lookup!A$1:B$17,2,false)</f>
        <v>Electronics</v>
      </c>
      <c r="E61" s="14">
        <v>45882.0</v>
      </c>
      <c r="F61" s="10">
        <f t="shared" si="1"/>
        <v>45882</v>
      </c>
      <c r="G61" s="8">
        <v>55.0</v>
      </c>
      <c r="H61" s="8">
        <v>65.0</v>
      </c>
      <c r="I61" s="8">
        <v>92.0</v>
      </c>
      <c r="J61" s="11">
        <f>G61*Scoring_Weights!B$2+H61*Scoring_Weights!B$3+I61*Scoring_Weights!B$4</f>
        <v>77</v>
      </c>
      <c r="K61" s="12">
        <v>0.91</v>
      </c>
      <c r="L61" s="8">
        <v>0.78</v>
      </c>
      <c r="M61" s="12">
        <f t="shared" si="2"/>
        <v>0.78</v>
      </c>
      <c r="N61" s="8" t="s">
        <v>21</v>
      </c>
      <c r="O61" s="13">
        <f>vlookup(N61,Interview_Slots!$A$1:$D$5,3,false)</f>
        <v>65</v>
      </c>
      <c r="P61" s="13">
        <f>vlookup(N61,Interview_Slots!$A$1:$D$5,4,false)</f>
        <v>75</v>
      </c>
      <c r="Q61" s="13" t="str">
        <f t="shared" si="3"/>
        <v>Eligible</v>
      </c>
      <c r="R61" s="7" t="s">
        <v>22</v>
      </c>
    </row>
    <row r="62" ht="15.75" customHeight="1">
      <c r="A62" s="8" t="s">
        <v>155</v>
      </c>
      <c r="B62" s="8" t="s">
        <v>156</v>
      </c>
      <c r="C62" s="8" t="s">
        <v>105</v>
      </c>
      <c r="D62" s="9" t="str">
        <f>vlookup(C62,Dept_Lookup!A$1:B$17,2,false)</f>
        <v>Civil</v>
      </c>
      <c r="E62" s="14">
        <v>45877.0</v>
      </c>
      <c r="F62" s="10">
        <f t="shared" si="1"/>
        <v>45877</v>
      </c>
      <c r="G62" s="8">
        <v>87.0</v>
      </c>
      <c r="H62" s="8">
        <v>71.0</v>
      </c>
      <c r="I62" s="8">
        <v>77.0</v>
      </c>
      <c r="J62" s="11">
        <f>G62*Scoring_Weights!B$2+H62*Scoring_Weights!B$3+I62*Scoring_Weights!B$4</f>
        <v>76.4</v>
      </c>
      <c r="K62" s="12">
        <v>0.89</v>
      </c>
      <c r="L62" s="8">
        <v>0.77</v>
      </c>
      <c r="M62" s="12">
        <f t="shared" si="2"/>
        <v>0.77</v>
      </c>
      <c r="N62" s="8" t="s">
        <v>21</v>
      </c>
      <c r="O62" s="13">
        <f>vlookup(N62,Interview_Slots!$A$1:$D$5,3,false)</f>
        <v>65</v>
      </c>
      <c r="P62" s="13">
        <f>vlookup(N62,Interview_Slots!$A$1:$D$5,4,false)</f>
        <v>75</v>
      </c>
      <c r="Q62" s="13" t="str">
        <f t="shared" si="3"/>
        <v>Eligible</v>
      </c>
      <c r="R62" s="7" t="s">
        <v>22</v>
      </c>
    </row>
    <row r="63" ht="15.75" customHeight="1">
      <c r="A63" s="8" t="s">
        <v>157</v>
      </c>
      <c r="B63" s="8" t="s">
        <v>158</v>
      </c>
      <c r="C63" s="8" t="s">
        <v>50</v>
      </c>
      <c r="D63" s="9" t="str">
        <f>vlookup(C63,Dept_Lookup!A$1:B$17,2,false)</f>
        <v>Electronics</v>
      </c>
      <c r="E63" s="14">
        <v>45876.0</v>
      </c>
      <c r="F63" s="10">
        <f t="shared" si="1"/>
        <v>45876</v>
      </c>
      <c r="G63" s="8">
        <v>83.0</v>
      </c>
      <c r="H63" s="8">
        <v>81.0</v>
      </c>
      <c r="I63" s="8">
        <v>71.0</v>
      </c>
      <c r="J63" s="11">
        <f>G63*Scoring_Weights!B$2+H63*Scoring_Weights!B$3+I63*Scoring_Weights!B$4</f>
        <v>76.3</v>
      </c>
      <c r="K63" s="12">
        <v>0.81</v>
      </c>
      <c r="L63" s="8">
        <v>0.99</v>
      </c>
      <c r="M63" s="12">
        <f t="shared" si="2"/>
        <v>0.99</v>
      </c>
      <c r="N63" s="8" t="s">
        <v>21</v>
      </c>
      <c r="O63" s="13">
        <f>vlookup(N63,Interview_Slots!$A$1:$D$5,3,false)</f>
        <v>65</v>
      </c>
      <c r="P63" s="13">
        <f>vlookup(N63,Interview_Slots!$A$1:$D$5,4,false)</f>
        <v>75</v>
      </c>
      <c r="Q63" s="13" t="str">
        <f t="shared" si="3"/>
        <v>Eligible</v>
      </c>
      <c r="R63" s="7" t="s">
        <v>22</v>
      </c>
    </row>
    <row r="64" ht="15.75" customHeight="1">
      <c r="A64" s="8" t="s">
        <v>159</v>
      </c>
      <c r="B64" s="8" t="s">
        <v>160</v>
      </c>
      <c r="C64" s="8" t="s">
        <v>161</v>
      </c>
      <c r="D64" s="9" t="str">
        <f>vlookup(C64,Dept_Lookup!A$1:B$17,2,false)</f>
        <v>Mechanical</v>
      </c>
      <c r="E64" s="14">
        <v>45913.0</v>
      </c>
      <c r="F64" s="10">
        <f t="shared" si="1"/>
        <v>45913</v>
      </c>
      <c r="G64" s="8">
        <v>78.0</v>
      </c>
      <c r="H64" s="8">
        <v>92.0</v>
      </c>
      <c r="I64" s="8">
        <v>64.0</v>
      </c>
      <c r="J64" s="11">
        <f>G64*Scoring_Weights!B$2+H64*Scoring_Weights!B$3+I64*Scoring_Weights!B$4</f>
        <v>75.9</v>
      </c>
      <c r="K64" s="12">
        <v>0.93</v>
      </c>
      <c r="L64" s="8">
        <v>0.95</v>
      </c>
      <c r="M64" s="12">
        <f t="shared" si="2"/>
        <v>0.95</v>
      </c>
      <c r="N64" s="8" t="s">
        <v>21</v>
      </c>
      <c r="O64" s="13">
        <f>vlookup(N64,Interview_Slots!$A$1:$D$5,3,false)</f>
        <v>65</v>
      </c>
      <c r="P64" s="13">
        <f>vlookup(N64,Interview_Slots!$A$1:$D$5,4,false)</f>
        <v>75</v>
      </c>
      <c r="Q64" s="13" t="str">
        <f t="shared" si="3"/>
        <v>Eligible</v>
      </c>
      <c r="R64" s="7" t="s">
        <v>162</v>
      </c>
    </row>
    <row r="65" ht="15.75" customHeight="1">
      <c r="A65" s="8" t="s">
        <v>163</v>
      </c>
      <c r="B65" s="8" t="s">
        <v>164</v>
      </c>
      <c r="C65" s="8" t="s">
        <v>161</v>
      </c>
      <c r="D65" s="9" t="str">
        <f>vlookup(C65,Dept_Lookup!A$1:B$17,2,false)</f>
        <v>Mechanical</v>
      </c>
      <c r="E65" s="9">
        <v>45872.0</v>
      </c>
      <c r="F65" s="10">
        <f t="shared" si="1"/>
        <v>45872</v>
      </c>
      <c r="G65" s="8">
        <v>71.0</v>
      </c>
      <c r="H65" s="8">
        <v>89.0</v>
      </c>
      <c r="I65" s="8">
        <v>68.0</v>
      </c>
      <c r="J65" s="11">
        <f>G65*Scoring_Weights!B$2+H65*Scoring_Weights!B$3+I65*Scoring_Weights!B$4</f>
        <v>75.8</v>
      </c>
      <c r="K65" s="12">
        <v>0.84</v>
      </c>
      <c r="L65" s="8">
        <v>0.92</v>
      </c>
      <c r="M65" s="12">
        <f t="shared" si="2"/>
        <v>0.92</v>
      </c>
      <c r="N65" s="8" t="s">
        <v>21</v>
      </c>
      <c r="O65" s="13">
        <f>vlookup(N65,Interview_Slots!$A$1:$D$5,3,false)</f>
        <v>65</v>
      </c>
      <c r="P65" s="13">
        <f>vlookup(N65,Interview_Slots!$A$1:$D$5,4,false)</f>
        <v>75</v>
      </c>
      <c r="Q65" s="13" t="str">
        <f t="shared" si="3"/>
        <v>Eligible</v>
      </c>
      <c r="R65" s="7" t="s">
        <v>162</v>
      </c>
    </row>
    <row r="66" ht="15.75" customHeight="1">
      <c r="A66" s="8" t="s">
        <v>165</v>
      </c>
      <c r="B66" s="8" t="s">
        <v>166</v>
      </c>
      <c r="C66" s="8" t="s">
        <v>83</v>
      </c>
      <c r="D66" s="9" t="str">
        <f>vlookup(C66,Dept_Lookup!A$1:B$17,2,false)</f>
        <v>Civil</v>
      </c>
      <c r="E66" s="14">
        <v>45865.0</v>
      </c>
      <c r="F66" s="10">
        <f t="shared" si="1"/>
        <v>45865</v>
      </c>
      <c r="G66" s="8">
        <v>91.0</v>
      </c>
      <c r="H66" s="8">
        <v>64.0</v>
      </c>
      <c r="I66" s="8">
        <v>79.0</v>
      </c>
      <c r="J66" s="11">
        <f>G66*Scoring_Weights!B$2+H66*Scoring_Weights!B$3+I66*Scoring_Weights!B$4</f>
        <v>75.55</v>
      </c>
      <c r="K66" s="12">
        <v>0.92</v>
      </c>
      <c r="L66" s="8">
        <v>0.81</v>
      </c>
      <c r="M66" s="12">
        <f t="shared" si="2"/>
        <v>0.81</v>
      </c>
      <c r="N66" s="8" t="s">
        <v>21</v>
      </c>
      <c r="O66" s="13">
        <f>vlookup(N66,Interview_Slots!$A$1:$D$5,3,false)</f>
        <v>65</v>
      </c>
      <c r="P66" s="13">
        <f>vlookup(N66,Interview_Slots!$A$1:$D$5,4,false)</f>
        <v>75</v>
      </c>
      <c r="Q66" s="13" t="str">
        <f t="shared" si="3"/>
        <v>Eligible</v>
      </c>
      <c r="R66" s="7" t="s">
        <v>162</v>
      </c>
    </row>
    <row r="67" ht="15.75" customHeight="1">
      <c r="A67" s="8" t="s">
        <v>167</v>
      </c>
      <c r="B67" s="8" t="s">
        <v>168</v>
      </c>
      <c r="C67" s="8" t="s">
        <v>57</v>
      </c>
      <c r="D67" s="9" t="str">
        <f>vlookup(C67,Dept_Lookup!A$1:B$17,2,false)</f>
        <v>Computer Science</v>
      </c>
      <c r="E67" s="14">
        <v>45877.0</v>
      </c>
      <c r="F67" s="10">
        <f t="shared" si="1"/>
        <v>45877</v>
      </c>
      <c r="G67" s="8">
        <v>73.0</v>
      </c>
      <c r="H67" s="8">
        <v>86.0</v>
      </c>
      <c r="I67" s="8">
        <v>69.0</v>
      </c>
      <c r="J67" s="11">
        <f>G67*Scoring_Weights!B$2+H67*Scoring_Weights!B$3+I67*Scoring_Weights!B$4</f>
        <v>75.55</v>
      </c>
      <c r="K67" s="12">
        <v>0.84</v>
      </c>
      <c r="L67" s="8">
        <v>0.86</v>
      </c>
      <c r="M67" s="12">
        <f t="shared" si="2"/>
        <v>0.86</v>
      </c>
      <c r="N67" s="8" t="s">
        <v>21</v>
      </c>
      <c r="O67" s="13">
        <f>vlookup(N67,Interview_Slots!$A$1:$D$5,3,false)</f>
        <v>65</v>
      </c>
      <c r="P67" s="13">
        <f>vlookup(N67,Interview_Slots!$A$1:$D$5,4,false)</f>
        <v>75</v>
      </c>
      <c r="Q67" s="13" t="str">
        <f t="shared" si="3"/>
        <v>Eligible</v>
      </c>
      <c r="R67" s="7" t="s">
        <v>162</v>
      </c>
    </row>
    <row r="68" ht="15.75" customHeight="1">
      <c r="A68" s="8" t="s">
        <v>169</v>
      </c>
      <c r="B68" s="8" t="s">
        <v>170</v>
      </c>
      <c r="C68" s="8" t="s">
        <v>35</v>
      </c>
      <c r="D68" s="9" t="str">
        <f>vlookup(C68,Dept_Lookup!A$1:B$17,2,false)</f>
        <v>Electronics</v>
      </c>
      <c r="E68" s="9">
        <v>45866.0</v>
      </c>
      <c r="F68" s="10">
        <f t="shared" si="1"/>
        <v>45866</v>
      </c>
      <c r="G68" s="8">
        <v>58.0</v>
      </c>
      <c r="H68" s="8">
        <v>68.0</v>
      </c>
      <c r="I68" s="8">
        <v>85.0</v>
      </c>
      <c r="J68" s="11">
        <f>G68*Scoring_Weights!B$2+H68*Scoring_Weights!B$3+I68*Scoring_Weights!B$4</f>
        <v>75</v>
      </c>
      <c r="K68" s="12">
        <v>0.82</v>
      </c>
      <c r="L68" s="12">
        <v>0.78</v>
      </c>
      <c r="M68" s="12">
        <f t="shared" si="2"/>
        <v>0.78</v>
      </c>
      <c r="N68" s="8" t="s">
        <v>21</v>
      </c>
      <c r="O68" s="13">
        <f>vlookup(N68,Interview_Slots!$A$1:$D$5,3,false)</f>
        <v>65</v>
      </c>
      <c r="P68" s="13">
        <f>vlookup(N68,Interview_Slots!$A$1:$D$5,4,false)</f>
        <v>75</v>
      </c>
      <c r="Q68" s="13" t="str">
        <f t="shared" si="3"/>
        <v>Eligible</v>
      </c>
      <c r="R68" s="7" t="s">
        <v>162</v>
      </c>
    </row>
    <row r="69" ht="15.75" customHeight="1">
      <c r="A69" s="8" t="s">
        <v>171</v>
      </c>
      <c r="B69" s="8" t="s">
        <v>172</v>
      </c>
      <c r="C69" s="8" t="s">
        <v>41</v>
      </c>
      <c r="D69" s="9" t="str">
        <f>vlookup(C69,Dept_Lookup!A$1:B$17,2,false)</f>
        <v>Mechanical</v>
      </c>
      <c r="E69" s="14">
        <v>45900.0</v>
      </c>
      <c r="F69" s="10">
        <f t="shared" si="1"/>
        <v>45900</v>
      </c>
      <c r="G69" s="8">
        <v>92.0</v>
      </c>
      <c r="H69" s="8">
        <v>57.0</v>
      </c>
      <c r="I69" s="8">
        <v>82.0</v>
      </c>
      <c r="J69" s="11">
        <f>G69*Scoring_Weights!B$2+H69*Scoring_Weights!B$3+I69*Scoring_Weights!B$4</f>
        <v>74.75</v>
      </c>
      <c r="K69" s="12">
        <v>0.91</v>
      </c>
      <c r="L69" s="8">
        <v>0.99</v>
      </c>
      <c r="M69" s="12">
        <f t="shared" si="2"/>
        <v>0.99</v>
      </c>
      <c r="N69" s="8" t="s">
        <v>21</v>
      </c>
      <c r="O69" s="13">
        <f>vlookup(N69,Interview_Slots!$A$1:$D$5,3,false)</f>
        <v>65</v>
      </c>
      <c r="P69" s="13">
        <f>vlookup(N69,Interview_Slots!$A$1:$D$5,4,false)</f>
        <v>75</v>
      </c>
      <c r="Q69" s="13" t="str">
        <f t="shared" si="3"/>
        <v>Eligible</v>
      </c>
      <c r="R69" s="7" t="s">
        <v>162</v>
      </c>
    </row>
    <row r="70" ht="15.75" customHeight="1">
      <c r="A70" s="8" t="s">
        <v>173</v>
      </c>
      <c r="B70" s="8" t="s">
        <v>174</v>
      </c>
      <c r="C70" s="8" t="s">
        <v>35</v>
      </c>
      <c r="D70" s="9" t="str">
        <f>vlookup(C70,Dept_Lookup!A$1:B$17,2,false)</f>
        <v>Electronics</v>
      </c>
      <c r="E70" s="14">
        <v>45870.0</v>
      </c>
      <c r="F70" s="10">
        <f t="shared" si="1"/>
        <v>45870</v>
      </c>
      <c r="G70" s="8">
        <v>59.0</v>
      </c>
      <c r="H70" s="8">
        <v>61.0</v>
      </c>
      <c r="I70" s="8">
        <v>89.0</v>
      </c>
      <c r="J70" s="11">
        <f>G70*Scoring_Weights!B$2+H70*Scoring_Weights!B$3+I70*Scoring_Weights!B$4</f>
        <v>74.7</v>
      </c>
      <c r="K70" s="12">
        <v>0.83</v>
      </c>
      <c r="L70" s="12">
        <v>0.81</v>
      </c>
      <c r="M70" s="12">
        <f t="shared" si="2"/>
        <v>0.81</v>
      </c>
      <c r="N70" s="8" t="s">
        <v>21</v>
      </c>
      <c r="O70" s="13">
        <f>vlookup(N70,Interview_Slots!$A$1:$D$5,3,false)</f>
        <v>65</v>
      </c>
      <c r="P70" s="13">
        <f>vlookup(N70,Interview_Slots!$A$1:$D$5,4,false)</f>
        <v>75</v>
      </c>
      <c r="Q70" s="13" t="str">
        <f t="shared" si="3"/>
        <v>Eligible</v>
      </c>
      <c r="R70" s="7" t="s">
        <v>162</v>
      </c>
    </row>
    <row r="71" ht="15.75" customHeight="1">
      <c r="A71" s="8" t="s">
        <v>175</v>
      </c>
      <c r="B71" s="8" t="s">
        <v>176</v>
      </c>
      <c r="C71" s="8" t="s">
        <v>38</v>
      </c>
      <c r="D71" s="9" t="str">
        <f>vlookup(C71,Dept_Lookup!A$1:B$17,2,false)</f>
        <v>Mechanical</v>
      </c>
      <c r="E71" s="14">
        <v>45877.0</v>
      </c>
      <c r="F71" s="10">
        <f t="shared" si="1"/>
        <v>45877</v>
      </c>
      <c r="G71" s="8">
        <v>84.0</v>
      </c>
      <c r="H71" s="8">
        <v>81.0</v>
      </c>
      <c r="I71" s="8">
        <v>67.0</v>
      </c>
      <c r="J71" s="11">
        <f>G71*Scoring_Weights!B$2+H71*Scoring_Weights!B$3+I71*Scoring_Weights!B$4</f>
        <v>74.45</v>
      </c>
      <c r="K71" s="12">
        <v>0.91</v>
      </c>
      <c r="L71" s="8">
        <v>0.85</v>
      </c>
      <c r="M71" s="12">
        <f t="shared" si="2"/>
        <v>0.85</v>
      </c>
      <c r="N71" s="8" t="s">
        <v>21</v>
      </c>
      <c r="O71" s="13">
        <f>vlookup(N71,Interview_Slots!$A$1:$D$5,3,false)</f>
        <v>65</v>
      </c>
      <c r="P71" s="13">
        <f>vlookup(N71,Interview_Slots!$A$1:$D$5,4,false)</f>
        <v>75</v>
      </c>
      <c r="Q71" s="13" t="str">
        <f t="shared" si="3"/>
        <v>Eligible</v>
      </c>
      <c r="R71" s="7" t="s">
        <v>162</v>
      </c>
    </row>
    <row r="72" ht="15.75" customHeight="1">
      <c r="A72" s="8" t="s">
        <v>177</v>
      </c>
      <c r="B72" s="8" t="s">
        <v>178</v>
      </c>
      <c r="C72" s="8" t="s">
        <v>105</v>
      </c>
      <c r="D72" s="9" t="str">
        <f>vlookup(C72,Dept_Lookup!A$1:B$17,2,false)</f>
        <v>Civil</v>
      </c>
      <c r="E72" s="14">
        <v>45900.0</v>
      </c>
      <c r="F72" s="10">
        <f t="shared" si="1"/>
        <v>45900</v>
      </c>
      <c r="G72" s="8">
        <v>88.0</v>
      </c>
      <c r="H72" s="8">
        <v>73.0</v>
      </c>
      <c r="I72" s="8">
        <v>71.0</v>
      </c>
      <c r="J72" s="11">
        <f>G72*Scoring_Weights!B$2+H72*Scoring_Weights!B$3+I72*Scoring_Weights!B$4</f>
        <v>74.25</v>
      </c>
      <c r="K72" s="12">
        <v>0.93</v>
      </c>
      <c r="L72" s="8">
        <v>0.98</v>
      </c>
      <c r="M72" s="12">
        <f t="shared" si="2"/>
        <v>0.98</v>
      </c>
      <c r="N72" s="8" t="s">
        <v>21</v>
      </c>
      <c r="O72" s="13">
        <f>vlookup(N72,Interview_Slots!$A$1:$D$5,3,false)</f>
        <v>65</v>
      </c>
      <c r="P72" s="13">
        <f>vlookup(N72,Interview_Slots!$A$1:$D$5,4,false)</f>
        <v>75</v>
      </c>
      <c r="Q72" s="13" t="str">
        <f t="shared" si="3"/>
        <v>Eligible</v>
      </c>
      <c r="R72" s="7" t="s">
        <v>162</v>
      </c>
    </row>
    <row r="73" ht="15.75" customHeight="1">
      <c r="A73" s="8" t="s">
        <v>179</v>
      </c>
      <c r="B73" s="8" t="s">
        <v>180</v>
      </c>
      <c r="C73" s="8" t="s">
        <v>50</v>
      </c>
      <c r="D73" s="9" t="str">
        <f>vlookup(C73,Dept_Lookup!A$1:B$17,2,false)</f>
        <v>Electronics</v>
      </c>
      <c r="E73" s="14">
        <v>45877.0</v>
      </c>
      <c r="F73" s="10">
        <f t="shared" si="1"/>
        <v>45877</v>
      </c>
      <c r="G73" s="8">
        <v>74.0</v>
      </c>
      <c r="H73" s="8">
        <v>83.0</v>
      </c>
      <c r="I73" s="8">
        <v>68.0</v>
      </c>
      <c r="J73" s="11">
        <f>G73*Scoring_Weights!B$2+H73*Scoring_Weights!B$3+I73*Scoring_Weights!B$4</f>
        <v>74.15</v>
      </c>
      <c r="K73" s="12">
        <v>0.84</v>
      </c>
      <c r="L73" s="8">
        <v>0.86</v>
      </c>
      <c r="M73" s="12">
        <f t="shared" si="2"/>
        <v>0.86</v>
      </c>
      <c r="N73" s="8" t="s">
        <v>21</v>
      </c>
      <c r="O73" s="13">
        <f>vlookup(N73,Interview_Slots!$A$1:$D$5,3,false)</f>
        <v>65</v>
      </c>
      <c r="P73" s="13">
        <f>vlookup(N73,Interview_Slots!$A$1:$D$5,4,false)</f>
        <v>75</v>
      </c>
      <c r="Q73" s="13" t="str">
        <f t="shared" si="3"/>
        <v>Eligible</v>
      </c>
      <c r="R73" s="7" t="s">
        <v>162</v>
      </c>
    </row>
    <row r="74" ht="15.75" customHeight="1">
      <c r="A74" s="8" t="s">
        <v>181</v>
      </c>
      <c r="B74" s="8" t="s">
        <v>182</v>
      </c>
      <c r="C74" s="8" t="s">
        <v>161</v>
      </c>
      <c r="D74" s="9" t="str">
        <f>vlookup(C74,Dept_Lookup!A$1:B$17,2,false)</f>
        <v>Mechanical</v>
      </c>
      <c r="E74" s="14">
        <v>45929.0</v>
      </c>
      <c r="F74" s="10">
        <f t="shared" si="1"/>
        <v>45929</v>
      </c>
      <c r="G74" s="8">
        <v>60.0</v>
      </c>
      <c r="H74" s="8">
        <v>69.0</v>
      </c>
      <c r="I74" s="8">
        <v>82.0</v>
      </c>
      <c r="J74" s="11">
        <f>G74*Scoring_Weights!B$2+H74*Scoring_Weights!B$3+I74*Scoring_Weights!B$4</f>
        <v>74.15</v>
      </c>
      <c r="K74" s="12">
        <v>0.84</v>
      </c>
      <c r="L74" s="8">
        <v>0.84</v>
      </c>
      <c r="M74" s="12">
        <f t="shared" si="2"/>
        <v>0.84</v>
      </c>
      <c r="N74" s="8" t="s">
        <v>21</v>
      </c>
      <c r="O74" s="13">
        <f>vlookup(N74,Interview_Slots!$A$1:$D$5,3,false)</f>
        <v>65</v>
      </c>
      <c r="P74" s="13">
        <f>vlookup(N74,Interview_Slots!$A$1:$D$5,4,false)</f>
        <v>75</v>
      </c>
      <c r="Q74" s="13" t="str">
        <f t="shared" si="3"/>
        <v>Eligible</v>
      </c>
      <c r="R74" s="7" t="s">
        <v>162</v>
      </c>
    </row>
    <row r="75" ht="15.75" customHeight="1">
      <c r="A75" s="8" t="s">
        <v>183</v>
      </c>
      <c r="B75" s="8" t="s">
        <v>184</v>
      </c>
      <c r="C75" s="8" t="s">
        <v>83</v>
      </c>
      <c r="D75" s="9" t="str">
        <f>vlookup(C75,Dept_Lookup!A$1:B$17,2,false)</f>
        <v>Civil</v>
      </c>
      <c r="E75" s="9">
        <v>45893.0</v>
      </c>
      <c r="F75" s="10">
        <f t="shared" si="1"/>
        <v>45893</v>
      </c>
      <c r="G75" s="8">
        <v>83.0</v>
      </c>
      <c r="H75" s="8">
        <v>66.0</v>
      </c>
      <c r="I75" s="8">
        <v>77.0</v>
      </c>
      <c r="J75" s="11">
        <f>G75*Scoring_Weights!B$2+H75*Scoring_Weights!B$3+I75*Scoring_Weights!B$4</f>
        <v>74.05</v>
      </c>
      <c r="K75" s="12">
        <v>0.76</v>
      </c>
      <c r="L75" s="12">
        <v>0.88</v>
      </c>
      <c r="M75" s="12">
        <f t="shared" si="2"/>
        <v>0.88</v>
      </c>
      <c r="N75" s="8" t="s">
        <v>21</v>
      </c>
      <c r="O75" s="13">
        <f>vlookup(N75,Interview_Slots!$A$1:$D$5,3,false)</f>
        <v>65</v>
      </c>
      <c r="P75" s="13">
        <f>vlookup(N75,Interview_Slots!$A$1:$D$5,4,false)</f>
        <v>75</v>
      </c>
      <c r="Q75" s="13" t="str">
        <f t="shared" si="3"/>
        <v>Eligible</v>
      </c>
      <c r="R75" s="7" t="s">
        <v>162</v>
      </c>
    </row>
    <row r="76" ht="15.75" customHeight="1">
      <c r="A76" s="8" t="s">
        <v>185</v>
      </c>
      <c r="B76" s="8" t="s">
        <v>186</v>
      </c>
      <c r="C76" s="8" t="s">
        <v>47</v>
      </c>
      <c r="D76" s="9" t="str">
        <f>vlookup(C76,Dept_Lookup!A$1:B$17,2,false)</f>
        <v>Civil</v>
      </c>
      <c r="E76" s="14">
        <v>45856.0</v>
      </c>
      <c r="F76" s="10">
        <f t="shared" si="1"/>
        <v>45856</v>
      </c>
      <c r="G76" s="8">
        <v>75.0</v>
      </c>
      <c r="H76" s="8">
        <v>90.0</v>
      </c>
      <c r="I76" s="8">
        <v>62.0</v>
      </c>
      <c r="J76" s="11">
        <f>G76*Scoring_Weights!B$2+H76*Scoring_Weights!B$3+I76*Scoring_Weights!B$4</f>
        <v>73.75</v>
      </c>
      <c r="K76" s="12">
        <v>0.82</v>
      </c>
      <c r="L76" s="8">
        <v>0.91</v>
      </c>
      <c r="M76" s="12">
        <f t="shared" si="2"/>
        <v>0.91</v>
      </c>
      <c r="N76" s="8" t="s">
        <v>21</v>
      </c>
      <c r="O76" s="13">
        <f>vlookup(N76,Interview_Slots!$A$1:$D$5,3,false)</f>
        <v>65</v>
      </c>
      <c r="P76" s="13">
        <f>vlookup(N76,Interview_Slots!$A$1:$D$5,4,false)</f>
        <v>75</v>
      </c>
      <c r="Q76" s="13" t="str">
        <f t="shared" si="3"/>
        <v>Eligible</v>
      </c>
      <c r="R76" s="7" t="s">
        <v>162</v>
      </c>
    </row>
    <row r="77" ht="15.75" customHeight="1">
      <c r="A77" s="8" t="s">
        <v>187</v>
      </c>
      <c r="B77" s="8" t="s">
        <v>188</v>
      </c>
      <c r="C77" s="8" t="s">
        <v>72</v>
      </c>
      <c r="D77" s="9" t="str">
        <f>vlookup(C77,Dept_Lookup!A$1:B$17,2,false)</f>
        <v>Mechanical</v>
      </c>
      <c r="E77" s="14">
        <v>45900.0</v>
      </c>
      <c r="F77" s="10">
        <f t="shared" si="1"/>
        <v>45900</v>
      </c>
      <c r="G77" s="8">
        <v>77.0</v>
      </c>
      <c r="H77" s="8">
        <v>63.0</v>
      </c>
      <c r="I77" s="8">
        <v>80.0</v>
      </c>
      <c r="J77" s="11">
        <f>G77*Scoring_Weights!B$2+H77*Scoring_Weights!B$3+I77*Scoring_Weights!B$4</f>
        <v>73.6</v>
      </c>
      <c r="K77" s="12">
        <v>0.85</v>
      </c>
      <c r="L77" s="8">
        <v>0.92</v>
      </c>
      <c r="M77" s="12">
        <f t="shared" si="2"/>
        <v>0.92</v>
      </c>
      <c r="N77" s="8" t="s">
        <v>21</v>
      </c>
      <c r="O77" s="13">
        <f>vlookup(N77,Interview_Slots!$A$1:$D$5,3,false)</f>
        <v>65</v>
      </c>
      <c r="P77" s="13">
        <f>vlookup(N77,Interview_Slots!$A$1:$D$5,4,false)</f>
        <v>75</v>
      </c>
      <c r="Q77" s="13" t="str">
        <f t="shared" si="3"/>
        <v>Eligible</v>
      </c>
      <c r="R77" s="7" t="s">
        <v>162</v>
      </c>
    </row>
    <row r="78" ht="15.75" customHeight="1">
      <c r="A78" s="8" t="s">
        <v>189</v>
      </c>
      <c r="B78" s="8" t="s">
        <v>190</v>
      </c>
      <c r="C78" s="8" t="s">
        <v>38</v>
      </c>
      <c r="D78" s="9" t="str">
        <f>vlookup(C78,Dept_Lookup!A$1:B$17,2,false)</f>
        <v>Mechanical</v>
      </c>
      <c r="E78" s="9">
        <v>45878.0</v>
      </c>
      <c r="F78" s="10">
        <f t="shared" si="1"/>
        <v>45878</v>
      </c>
      <c r="G78" s="8">
        <v>80.0</v>
      </c>
      <c r="H78" s="8">
        <v>63.0</v>
      </c>
      <c r="I78" s="8">
        <v>79.0</v>
      </c>
      <c r="J78" s="11">
        <f>G78*Scoring_Weights!B$2+H78*Scoring_Weights!B$3+I78*Scoring_Weights!B$4</f>
        <v>73.55</v>
      </c>
      <c r="K78" s="12">
        <v>0.79</v>
      </c>
      <c r="L78" s="8">
        <v>0.93</v>
      </c>
      <c r="M78" s="12">
        <f t="shared" si="2"/>
        <v>0.93</v>
      </c>
      <c r="N78" s="8" t="s">
        <v>21</v>
      </c>
      <c r="O78" s="13">
        <f>vlookup(N78,Interview_Slots!$A$1:$D$5,3,false)</f>
        <v>65</v>
      </c>
      <c r="P78" s="13">
        <f>vlookup(N78,Interview_Slots!$A$1:$D$5,4,false)</f>
        <v>75</v>
      </c>
      <c r="Q78" s="13" t="str">
        <f t="shared" si="3"/>
        <v>Eligible</v>
      </c>
      <c r="R78" s="7" t="s">
        <v>162</v>
      </c>
    </row>
    <row r="79" ht="15.75" customHeight="1">
      <c r="A79" s="8" t="s">
        <v>191</v>
      </c>
      <c r="B79" s="8" t="s">
        <v>192</v>
      </c>
      <c r="C79" s="8" t="s">
        <v>28</v>
      </c>
      <c r="D79" s="9" t="str">
        <f>vlookup(C79,Dept_Lookup!A$1:B$17,2,false)</f>
        <v>Electronics</v>
      </c>
      <c r="E79" s="9">
        <v>45893.0</v>
      </c>
      <c r="F79" s="10">
        <f t="shared" si="1"/>
        <v>45893</v>
      </c>
      <c r="G79" s="8">
        <v>73.0</v>
      </c>
      <c r="H79" s="8">
        <v>93.0</v>
      </c>
      <c r="I79" s="8">
        <v>59.0</v>
      </c>
      <c r="J79" s="11">
        <f>G79*Scoring_Weights!B$2+H79*Scoring_Weights!B$3+I79*Scoring_Weights!B$4</f>
        <v>73</v>
      </c>
      <c r="K79" s="12">
        <v>0.84</v>
      </c>
      <c r="L79" s="8">
        <v>0.85</v>
      </c>
      <c r="M79" s="12">
        <f t="shared" si="2"/>
        <v>0.85</v>
      </c>
      <c r="N79" s="8" t="s">
        <v>21</v>
      </c>
      <c r="O79" s="13">
        <f>vlookup(N79,Interview_Slots!$A$1:$D$5,3,false)</f>
        <v>65</v>
      </c>
      <c r="P79" s="13">
        <f>vlookup(N79,Interview_Slots!$A$1:$D$5,4,false)</f>
        <v>75</v>
      </c>
      <c r="Q79" s="13" t="str">
        <f t="shared" si="3"/>
        <v>Eligible</v>
      </c>
      <c r="R79" s="7" t="s">
        <v>162</v>
      </c>
    </row>
    <row r="80" ht="15.75" customHeight="1">
      <c r="A80" s="8" t="s">
        <v>193</v>
      </c>
      <c r="B80" s="8" t="s">
        <v>194</v>
      </c>
      <c r="C80" s="8" t="s">
        <v>161</v>
      </c>
      <c r="D80" s="9" t="str">
        <f>vlookup(C80,Dept_Lookup!A$1:B$17,2,false)</f>
        <v>Mechanical</v>
      </c>
      <c r="E80" s="9">
        <v>45878.0</v>
      </c>
      <c r="F80" s="10">
        <f t="shared" si="1"/>
        <v>45878</v>
      </c>
      <c r="G80" s="8">
        <v>98.0</v>
      </c>
      <c r="H80" s="8">
        <v>82.0</v>
      </c>
      <c r="I80" s="8">
        <v>59.0</v>
      </c>
      <c r="J80" s="11">
        <f>G80*Scoring_Weights!B$2+H80*Scoring_Weights!B$3+I80*Scoring_Weights!B$4</f>
        <v>72.9</v>
      </c>
      <c r="K80" s="12">
        <v>0.85</v>
      </c>
      <c r="L80" s="8">
        <v>0.84</v>
      </c>
      <c r="M80" s="12">
        <f t="shared" si="2"/>
        <v>0.84</v>
      </c>
      <c r="N80" s="8" t="s">
        <v>21</v>
      </c>
      <c r="O80" s="13">
        <f>vlookup(N80,Interview_Slots!$A$1:$D$5,3,false)</f>
        <v>65</v>
      </c>
      <c r="P80" s="13">
        <f>vlookup(N80,Interview_Slots!$A$1:$D$5,4,false)</f>
        <v>75</v>
      </c>
      <c r="Q80" s="13" t="str">
        <f t="shared" si="3"/>
        <v>Eligible</v>
      </c>
      <c r="R80" s="7" t="s">
        <v>162</v>
      </c>
    </row>
    <row r="81" ht="15.75" customHeight="1">
      <c r="A81" s="8" t="s">
        <v>195</v>
      </c>
      <c r="B81" s="8" t="s">
        <v>196</v>
      </c>
      <c r="C81" s="8" t="s">
        <v>44</v>
      </c>
      <c r="D81" s="9" t="str">
        <f>vlookup(C81,Dept_Lookup!A$1:B$17,2,false)</f>
        <v>Computer Science</v>
      </c>
      <c r="E81" s="9">
        <v>45892.0</v>
      </c>
      <c r="F81" s="10">
        <f t="shared" si="1"/>
        <v>45892</v>
      </c>
      <c r="G81" s="8">
        <v>98.0</v>
      </c>
      <c r="H81" s="8">
        <v>82.0</v>
      </c>
      <c r="I81" s="8">
        <v>59.0</v>
      </c>
      <c r="J81" s="11">
        <f>G81*Scoring_Weights!B$2+H81*Scoring_Weights!B$3+I81*Scoring_Weights!B$4</f>
        <v>72.9</v>
      </c>
      <c r="K81" s="12">
        <v>0.85</v>
      </c>
      <c r="L81" s="8">
        <v>0.84</v>
      </c>
      <c r="M81" s="12">
        <f t="shared" si="2"/>
        <v>0.84</v>
      </c>
      <c r="N81" s="8" t="s">
        <v>21</v>
      </c>
      <c r="O81" s="13">
        <f>vlookup(N81,Interview_Slots!$A$1:$D$5,3,false)</f>
        <v>65</v>
      </c>
      <c r="P81" s="13">
        <f>vlookup(N81,Interview_Slots!$A$1:$D$5,4,false)</f>
        <v>75</v>
      </c>
      <c r="Q81" s="13" t="str">
        <f t="shared" si="3"/>
        <v>Eligible</v>
      </c>
      <c r="R81" s="7" t="s">
        <v>162</v>
      </c>
    </row>
    <row r="82" ht="15.75" customHeight="1">
      <c r="A82" s="8" t="s">
        <v>197</v>
      </c>
      <c r="B82" s="8" t="s">
        <v>198</v>
      </c>
      <c r="C82" s="8" t="s">
        <v>38</v>
      </c>
      <c r="D82" s="9" t="str">
        <f>vlookup(C82,Dept_Lookup!A$1:B$17,2,false)</f>
        <v>Mechanical</v>
      </c>
      <c r="E82" s="14">
        <v>45865.0</v>
      </c>
      <c r="F82" s="10">
        <f t="shared" si="1"/>
        <v>45865</v>
      </c>
      <c r="G82" s="8">
        <v>88.0</v>
      </c>
      <c r="H82" s="8">
        <v>72.0</v>
      </c>
      <c r="I82" s="8">
        <v>69.0</v>
      </c>
      <c r="J82" s="11">
        <f>G82*Scoring_Weights!B$2+H82*Scoring_Weights!B$3+I82*Scoring_Weights!B$4</f>
        <v>72.9</v>
      </c>
      <c r="K82" s="12">
        <v>0.75</v>
      </c>
      <c r="L82" s="8">
        <v>0.79</v>
      </c>
      <c r="M82" s="12">
        <f t="shared" si="2"/>
        <v>0.79</v>
      </c>
      <c r="N82" s="8" t="s">
        <v>21</v>
      </c>
      <c r="O82" s="13">
        <f>vlookup(N82,Interview_Slots!$A$1:$D$5,3,false)</f>
        <v>65</v>
      </c>
      <c r="P82" s="13">
        <f>vlookup(N82,Interview_Slots!$A$1:$D$5,4,false)</f>
        <v>75</v>
      </c>
      <c r="Q82" s="13" t="str">
        <f t="shared" si="3"/>
        <v>Eligible</v>
      </c>
      <c r="R82" s="7" t="s">
        <v>162</v>
      </c>
    </row>
    <row r="83" ht="15.75" customHeight="1">
      <c r="A83" s="8" t="s">
        <v>199</v>
      </c>
      <c r="B83" s="8" t="s">
        <v>200</v>
      </c>
      <c r="C83" s="8" t="s">
        <v>50</v>
      </c>
      <c r="D83" s="9" t="str">
        <f>vlookup(C83,Dept_Lookup!A$1:B$17,2,false)</f>
        <v>Electronics</v>
      </c>
      <c r="E83" s="9">
        <v>45893.0</v>
      </c>
      <c r="F83" s="10">
        <f t="shared" si="1"/>
        <v>45893</v>
      </c>
      <c r="G83" s="8">
        <v>58.0</v>
      </c>
      <c r="H83" s="8">
        <v>86.0</v>
      </c>
      <c r="I83" s="8">
        <v>68.0</v>
      </c>
      <c r="J83" s="11">
        <f>G83*Scoring_Weights!B$2+H83*Scoring_Weights!B$3+I83*Scoring_Weights!B$4</f>
        <v>72.8</v>
      </c>
      <c r="K83" s="12">
        <v>0.92</v>
      </c>
      <c r="L83" s="8">
        <v>0.77</v>
      </c>
      <c r="M83" s="12">
        <f t="shared" si="2"/>
        <v>0.77</v>
      </c>
      <c r="N83" s="8" t="s">
        <v>21</v>
      </c>
      <c r="O83" s="13">
        <f>vlookup(N83,Interview_Slots!$A$1:$D$5,3,false)</f>
        <v>65</v>
      </c>
      <c r="P83" s="13">
        <f>vlookup(N83,Interview_Slots!$A$1:$D$5,4,false)</f>
        <v>75</v>
      </c>
      <c r="Q83" s="13" t="str">
        <f t="shared" si="3"/>
        <v>Eligible</v>
      </c>
      <c r="R83" s="7" t="s">
        <v>162</v>
      </c>
    </row>
    <row r="84" ht="15.75" customHeight="1">
      <c r="A84" s="8" t="s">
        <v>201</v>
      </c>
      <c r="B84" s="8" t="s">
        <v>202</v>
      </c>
      <c r="C84" s="8" t="s">
        <v>44</v>
      </c>
      <c r="D84" s="9" t="str">
        <f>vlookup(C84,Dept_Lookup!A$1:B$17,2,false)</f>
        <v>Computer Science</v>
      </c>
      <c r="E84" s="14">
        <v>45900.0</v>
      </c>
      <c r="F84" s="10">
        <f t="shared" si="1"/>
        <v>45900</v>
      </c>
      <c r="G84" s="8">
        <v>98.0</v>
      </c>
      <c r="H84" s="8">
        <v>56.0</v>
      </c>
      <c r="I84" s="8">
        <v>77.0</v>
      </c>
      <c r="J84" s="11">
        <f>G84*Scoring_Weights!B$2+H84*Scoring_Weights!B$3+I84*Scoring_Weights!B$4</f>
        <v>72.8</v>
      </c>
      <c r="K84" s="12">
        <v>0.85</v>
      </c>
      <c r="L84" s="8">
        <v>0.77</v>
      </c>
      <c r="M84" s="12">
        <f t="shared" si="2"/>
        <v>0.77</v>
      </c>
      <c r="N84" s="8" t="s">
        <v>21</v>
      </c>
      <c r="O84" s="13">
        <f>vlookup(N84,Interview_Slots!$A$1:$D$5,3,false)</f>
        <v>65</v>
      </c>
      <c r="P84" s="13">
        <f>vlookup(N84,Interview_Slots!$A$1:$D$5,4,false)</f>
        <v>75</v>
      </c>
      <c r="Q84" s="13" t="str">
        <f t="shared" si="3"/>
        <v>Eligible</v>
      </c>
      <c r="R84" s="7" t="s">
        <v>162</v>
      </c>
    </row>
    <row r="85" ht="15.75" customHeight="1">
      <c r="A85" s="8" t="s">
        <v>203</v>
      </c>
      <c r="B85" s="8" t="s">
        <v>204</v>
      </c>
      <c r="C85" s="8" t="s">
        <v>72</v>
      </c>
      <c r="D85" s="9" t="str">
        <f>vlookup(C85,Dept_Lookup!A$1:B$17,2,false)</f>
        <v>Mechanical</v>
      </c>
      <c r="E85" s="16">
        <v>45820.0</v>
      </c>
      <c r="F85" s="10">
        <f t="shared" si="1"/>
        <v>45820</v>
      </c>
      <c r="G85" s="8">
        <v>98.0</v>
      </c>
      <c r="H85" s="8">
        <v>56.0</v>
      </c>
      <c r="I85" s="8">
        <v>77.0</v>
      </c>
      <c r="J85" s="11">
        <f>G85*Scoring_Weights!B$2+H85*Scoring_Weights!B$3+I85*Scoring_Weights!B$4</f>
        <v>72.8</v>
      </c>
      <c r="K85" s="12">
        <v>0.85</v>
      </c>
      <c r="L85" s="8">
        <v>0.77</v>
      </c>
      <c r="M85" s="12">
        <f t="shared" si="2"/>
        <v>0.77</v>
      </c>
      <c r="N85" s="8" t="s">
        <v>21</v>
      </c>
      <c r="O85" s="13">
        <f>vlookup(N85,Interview_Slots!$A$1:$D$5,3,false)</f>
        <v>65</v>
      </c>
      <c r="P85" s="13">
        <f>vlookup(N85,Interview_Slots!$A$1:$D$5,4,false)</f>
        <v>75</v>
      </c>
      <c r="Q85" s="13" t="str">
        <f t="shared" si="3"/>
        <v>Eligible</v>
      </c>
      <c r="R85" s="7" t="s">
        <v>162</v>
      </c>
    </row>
    <row r="86" ht="15.75" customHeight="1">
      <c r="A86" s="8" t="s">
        <v>205</v>
      </c>
      <c r="B86" s="8" t="s">
        <v>206</v>
      </c>
      <c r="C86" s="8" t="s">
        <v>47</v>
      </c>
      <c r="D86" s="9" t="str">
        <f>vlookup(C86,Dept_Lookup!A$1:B$17,2,false)</f>
        <v>Civil</v>
      </c>
      <c r="E86" s="9">
        <v>45887.0</v>
      </c>
      <c r="F86" s="10">
        <f t="shared" si="1"/>
        <v>45887</v>
      </c>
      <c r="G86" s="8">
        <v>64.0</v>
      </c>
      <c r="H86" s="8">
        <v>86.0</v>
      </c>
      <c r="I86" s="8">
        <v>66.0</v>
      </c>
      <c r="J86" s="11">
        <f>G86*Scoring_Weights!B$2+H86*Scoring_Weights!B$3+I86*Scoring_Weights!B$4</f>
        <v>72.7</v>
      </c>
      <c r="K86" s="12">
        <v>0.78</v>
      </c>
      <c r="L86" s="8">
        <v>0.8</v>
      </c>
      <c r="M86" s="12">
        <f t="shared" si="2"/>
        <v>0.8</v>
      </c>
      <c r="N86" s="8" t="s">
        <v>21</v>
      </c>
      <c r="O86" s="13">
        <f>vlookup(N86,Interview_Slots!$A$1:$D$5,3,false)</f>
        <v>65</v>
      </c>
      <c r="P86" s="13">
        <f>vlookup(N86,Interview_Slots!$A$1:$D$5,4,false)</f>
        <v>75</v>
      </c>
      <c r="Q86" s="13" t="str">
        <f t="shared" si="3"/>
        <v>Eligible</v>
      </c>
      <c r="R86" s="7" t="s">
        <v>162</v>
      </c>
    </row>
    <row r="87" ht="15.75" customHeight="1">
      <c r="A87" s="8" t="s">
        <v>207</v>
      </c>
      <c r="B87" s="8" t="s">
        <v>208</v>
      </c>
      <c r="C87" s="8" t="s">
        <v>44</v>
      </c>
      <c r="D87" s="9" t="str">
        <f>vlookup(C87,Dept_Lookup!A$1:B$17,2,false)</f>
        <v>Computer Science</v>
      </c>
      <c r="E87" s="14">
        <v>45929.0</v>
      </c>
      <c r="F87" s="10">
        <f t="shared" si="1"/>
        <v>45929</v>
      </c>
      <c r="G87" s="8">
        <v>97.0</v>
      </c>
      <c r="H87" s="8">
        <v>87.0</v>
      </c>
      <c r="I87" s="8">
        <v>55.0</v>
      </c>
      <c r="J87" s="11">
        <f>G87*Scoring_Weights!B$2+H87*Scoring_Weights!B$3+I87*Scoring_Weights!B$4</f>
        <v>72.5</v>
      </c>
      <c r="K87" s="12">
        <v>0.87</v>
      </c>
      <c r="L87" s="8">
        <v>0.81</v>
      </c>
      <c r="M87" s="12">
        <f t="shared" si="2"/>
        <v>0.81</v>
      </c>
      <c r="N87" s="8" t="s">
        <v>21</v>
      </c>
      <c r="O87" s="13">
        <f>vlookup(N87,Interview_Slots!$A$1:$D$5,3,false)</f>
        <v>65</v>
      </c>
      <c r="P87" s="13">
        <f>vlookup(N87,Interview_Slots!$A$1:$D$5,4,false)</f>
        <v>75</v>
      </c>
      <c r="Q87" s="13" t="str">
        <f t="shared" si="3"/>
        <v>Eligible</v>
      </c>
      <c r="R87" s="7" t="s">
        <v>162</v>
      </c>
    </row>
    <row r="88" ht="15.75" customHeight="1">
      <c r="A88" s="8" t="s">
        <v>209</v>
      </c>
      <c r="B88" s="8" t="s">
        <v>210</v>
      </c>
      <c r="C88" s="8" t="s">
        <v>50</v>
      </c>
      <c r="D88" s="9" t="str">
        <f>vlookup(C88,Dept_Lookup!A$1:B$17,2,false)</f>
        <v>Electronics</v>
      </c>
      <c r="E88" s="14">
        <v>45865.0</v>
      </c>
      <c r="F88" s="10">
        <f t="shared" si="1"/>
        <v>45865</v>
      </c>
      <c r="G88" s="8">
        <v>71.0</v>
      </c>
      <c r="H88" s="8">
        <v>88.0</v>
      </c>
      <c r="I88" s="8">
        <v>62.0</v>
      </c>
      <c r="J88" s="11">
        <f>G88*Scoring_Weights!B$2+H88*Scoring_Weights!B$3+I88*Scoring_Weights!B$4</f>
        <v>72.45</v>
      </c>
      <c r="K88" s="12">
        <v>0.86</v>
      </c>
      <c r="L88" s="8">
        <v>0.92</v>
      </c>
      <c r="M88" s="12">
        <f t="shared" si="2"/>
        <v>0.92</v>
      </c>
      <c r="N88" s="8" t="s">
        <v>21</v>
      </c>
      <c r="O88" s="13">
        <f>vlookup(N88,Interview_Slots!$A$1:$D$5,3,false)</f>
        <v>65</v>
      </c>
      <c r="P88" s="13">
        <f>vlookup(N88,Interview_Slots!$A$1:$D$5,4,false)</f>
        <v>75</v>
      </c>
      <c r="Q88" s="13" t="str">
        <f t="shared" si="3"/>
        <v>Eligible</v>
      </c>
      <c r="R88" s="7" t="s">
        <v>162</v>
      </c>
    </row>
    <row r="89" ht="15.75" customHeight="1">
      <c r="A89" s="8" t="s">
        <v>211</v>
      </c>
      <c r="B89" s="8" t="s">
        <v>212</v>
      </c>
      <c r="C89" s="8" t="s">
        <v>41</v>
      </c>
      <c r="D89" s="9" t="str">
        <f>vlookup(C89,Dept_Lookup!A$1:B$17,2,false)</f>
        <v>Mechanical</v>
      </c>
      <c r="E89" s="14">
        <v>45870.0</v>
      </c>
      <c r="F89" s="10">
        <f t="shared" si="1"/>
        <v>45870</v>
      </c>
      <c r="G89" s="8">
        <v>87.0</v>
      </c>
      <c r="H89" s="8">
        <v>65.0</v>
      </c>
      <c r="I89" s="8">
        <v>73.0</v>
      </c>
      <c r="J89" s="11">
        <f>G89*Scoring_Weights!B$2+H89*Scoring_Weights!B$3+I89*Scoring_Weights!B$4</f>
        <v>72.3</v>
      </c>
      <c r="K89" s="12">
        <v>0.91</v>
      </c>
      <c r="L89" s="12">
        <v>0.93</v>
      </c>
      <c r="M89" s="12">
        <f t="shared" si="2"/>
        <v>0.93</v>
      </c>
      <c r="N89" s="8" t="s">
        <v>21</v>
      </c>
      <c r="O89" s="13">
        <f>vlookup(N89,Interview_Slots!$A$1:$D$5,3,false)</f>
        <v>65</v>
      </c>
      <c r="P89" s="13">
        <f>vlookup(N89,Interview_Slots!$A$1:$D$5,4,false)</f>
        <v>75</v>
      </c>
      <c r="Q89" s="13" t="str">
        <f t="shared" si="3"/>
        <v>Eligible</v>
      </c>
      <c r="R89" s="7" t="s">
        <v>162</v>
      </c>
    </row>
    <row r="90" ht="15.75" customHeight="1">
      <c r="A90" s="8" t="s">
        <v>213</v>
      </c>
      <c r="B90" s="8" t="s">
        <v>214</v>
      </c>
      <c r="C90" s="8" t="s">
        <v>57</v>
      </c>
      <c r="D90" s="9" t="str">
        <f>vlookup(C90,Dept_Lookup!A$1:B$17,2,false)</f>
        <v>Computer Science</v>
      </c>
      <c r="E90" s="9">
        <v>45893.0</v>
      </c>
      <c r="F90" s="10">
        <f t="shared" si="1"/>
        <v>45893</v>
      </c>
      <c r="G90" s="8">
        <v>72.0</v>
      </c>
      <c r="H90" s="8">
        <v>82.0</v>
      </c>
      <c r="I90" s="8">
        <v>65.0</v>
      </c>
      <c r="J90" s="11">
        <f>G90*Scoring_Weights!B$2+H90*Scoring_Weights!B$3+I90*Scoring_Weights!B$4</f>
        <v>72</v>
      </c>
      <c r="K90" s="12">
        <v>0.89</v>
      </c>
      <c r="L90" s="8">
        <v>0.86</v>
      </c>
      <c r="M90" s="12">
        <f t="shared" si="2"/>
        <v>0.86</v>
      </c>
      <c r="N90" s="8" t="s">
        <v>21</v>
      </c>
      <c r="O90" s="13">
        <f>vlookup(N90,Interview_Slots!$A$1:$D$5,3,false)</f>
        <v>65</v>
      </c>
      <c r="P90" s="13">
        <f>vlookup(N90,Interview_Slots!$A$1:$D$5,4,false)</f>
        <v>75</v>
      </c>
      <c r="Q90" s="13" t="str">
        <f t="shared" si="3"/>
        <v>Eligible</v>
      </c>
      <c r="R90" s="7" t="s">
        <v>162</v>
      </c>
    </row>
    <row r="91" ht="15.75" customHeight="1">
      <c r="A91" s="8" t="s">
        <v>215</v>
      </c>
      <c r="B91" s="8" t="s">
        <v>216</v>
      </c>
      <c r="C91" s="8" t="s">
        <v>35</v>
      </c>
      <c r="D91" s="9" t="str">
        <f>vlookup(C91,Dept_Lookup!A$1:B$17,2,false)</f>
        <v>Electronics</v>
      </c>
      <c r="E91" s="14">
        <v>45865.0</v>
      </c>
      <c r="F91" s="10">
        <f t="shared" si="1"/>
        <v>45865</v>
      </c>
      <c r="G91" s="8">
        <v>59.0</v>
      </c>
      <c r="H91" s="8">
        <v>87.0</v>
      </c>
      <c r="I91" s="8">
        <v>64.0</v>
      </c>
      <c r="J91" s="11">
        <f>G91*Scoring_Weights!B$2+H91*Scoring_Weights!B$3+I91*Scoring_Weights!B$4</f>
        <v>71.3</v>
      </c>
      <c r="K91" s="12">
        <v>0.85</v>
      </c>
      <c r="L91" s="8">
        <v>0.8</v>
      </c>
      <c r="M91" s="12">
        <f t="shared" si="2"/>
        <v>0.8</v>
      </c>
      <c r="N91" s="8" t="s">
        <v>21</v>
      </c>
      <c r="O91" s="13">
        <f>vlookup(N91,Interview_Slots!$A$1:$D$5,3,false)</f>
        <v>65</v>
      </c>
      <c r="P91" s="13">
        <f>vlookup(N91,Interview_Slots!$A$1:$D$5,4,false)</f>
        <v>75</v>
      </c>
      <c r="Q91" s="13" t="str">
        <f t="shared" si="3"/>
        <v>Eligible</v>
      </c>
      <c r="R91" s="7" t="s">
        <v>162</v>
      </c>
    </row>
    <row r="92" ht="15.75" customHeight="1">
      <c r="A92" s="8" t="s">
        <v>217</v>
      </c>
      <c r="B92" s="8" t="s">
        <v>218</v>
      </c>
      <c r="C92" s="8" t="s">
        <v>102</v>
      </c>
      <c r="D92" s="9" t="str">
        <f>vlookup(C92,Dept_Lookup!A$1:B$17,2,false)</f>
        <v>Computer Science</v>
      </c>
      <c r="E92" s="9">
        <v>45893.0</v>
      </c>
      <c r="F92" s="10">
        <f t="shared" si="1"/>
        <v>45893</v>
      </c>
      <c r="G92" s="8">
        <v>97.0</v>
      </c>
      <c r="H92" s="8">
        <v>71.0</v>
      </c>
      <c r="I92" s="8">
        <v>63.0</v>
      </c>
      <c r="J92" s="11">
        <f>G92*Scoring_Weights!B$2+H92*Scoring_Weights!B$3+I92*Scoring_Weights!B$4</f>
        <v>70.9</v>
      </c>
      <c r="K92" s="12">
        <v>0.81</v>
      </c>
      <c r="L92" s="8">
        <v>0.75</v>
      </c>
      <c r="M92" s="12">
        <f t="shared" si="2"/>
        <v>0.75</v>
      </c>
      <c r="N92" s="8" t="s">
        <v>21</v>
      </c>
      <c r="O92" s="13">
        <f>vlookup(N92,Interview_Slots!$A$1:$D$5,3,false)</f>
        <v>65</v>
      </c>
      <c r="P92" s="13">
        <f>vlookup(N92,Interview_Slots!$A$1:$D$5,4,false)</f>
        <v>75</v>
      </c>
      <c r="Q92" s="13" t="str">
        <f t="shared" si="3"/>
        <v>Eligible</v>
      </c>
      <c r="R92" s="7" t="s">
        <v>162</v>
      </c>
    </row>
    <row r="93" ht="15.75" customHeight="1">
      <c r="A93" s="8" t="s">
        <v>219</v>
      </c>
      <c r="B93" s="8" t="s">
        <v>220</v>
      </c>
      <c r="C93" s="8" t="s">
        <v>108</v>
      </c>
      <c r="D93" s="9" t="str">
        <f>vlookup(C93,Dept_Lookup!A$1:B$17,2,false)</f>
        <v>Civil</v>
      </c>
      <c r="E93" s="14">
        <v>45865.0</v>
      </c>
      <c r="F93" s="10">
        <f t="shared" si="1"/>
        <v>45865</v>
      </c>
      <c r="G93" s="8">
        <v>58.0</v>
      </c>
      <c r="H93" s="8">
        <v>60.0</v>
      </c>
      <c r="I93" s="8">
        <v>82.0</v>
      </c>
      <c r="J93" s="11">
        <f>G93*Scoring_Weights!B$2+H93*Scoring_Weights!B$3+I93*Scoring_Weights!B$4</f>
        <v>70.7</v>
      </c>
      <c r="K93" s="12">
        <v>0.91</v>
      </c>
      <c r="L93" s="8">
        <v>0.8</v>
      </c>
      <c r="M93" s="12">
        <f t="shared" si="2"/>
        <v>0.8</v>
      </c>
      <c r="N93" s="8" t="s">
        <v>21</v>
      </c>
      <c r="O93" s="13">
        <f>vlookup(N93,Interview_Slots!$A$1:$D$5,3,false)</f>
        <v>65</v>
      </c>
      <c r="P93" s="13">
        <f>vlookup(N93,Interview_Slots!$A$1:$D$5,4,false)</f>
        <v>75</v>
      </c>
      <c r="Q93" s="13" t="str">
        <f t="shared" si="3"/>
        <v>Eligible</v>
      </c>
      <c r="R93" s="7" t="s">
        <v>162</v>
      </c>
    </row>
    <row r="94" ht="15.75" customHeight="1">
      <c r="A94" s="8" t="s">
        <v>221</v>
      </c>
      <c r="B94" s="8" t="s">
        <v>222</v>
      </c>
      <c r="C94" s="8" t="s">
        <v>102</v>
      </c>
      <c r="D94" s="9" t="str">
        <f>vlookup(C94,Dept_Lookup!A$1:B$17,2,false)</f>
        <v>Computer Science</v>
      </c>
      <c r="E94" s="14">
        <v>45900.0</v>
      </c>
      <c r="F94" s="10">
        <f t="shared" si="1"/>
        <v>45900</v>
      </c>
      <c r="G94" s="8">
        <v>57.0</v>
      </c>
      <c r="H94" s="8">
        <v>89.0</v>
      </c>
      <c r="I94" s="8">
        <v>62.0</v>
      </c>
      <c r="J94" s="11">
        <f>G94*Scoring_Weights!B$2+H94*Scoring_Weights!B$3+I94*Scoring_Weights!B$4</f>
        <v>70.7</v>
      </c>
      <c r="K94" s="12">
        <v>0.93</v>
      </c>
      <c r="L94" s="8">
        <v>0.79</v>
      </c>
      <c r="M94" s="12">
        <f t="shared" si="2"/>
        <v>0.79</v>
      </c>
      <c r="N94" s="8" t="s">
        <v>21</v>
      </c>
      <c r="O94" s="13">
        <f>vlookup(N94,Interview_Slots!$A$1:$D$5,3,false)</f>
        <v>65</v>
      </c>
      <c r="P94" s="13">
        <f>vlookup(N94,Interview_Slots!$A$1:$D$5,4,false)</f>
        <v>75</v>
      </c>
      <c r="Q94" s="13" t="str">
        <f t="shared" si="3"/>
        <v>Eligible</v>
      </c>
      <c r="R94" s="7" t="s">
        <v>162</v>
      </c>
    </row>
    <row r="95" ht="15.75" customHeight="1">
      <c r="A95" s="8" t="s">
        <v>223</v>
      </c>
      <c r="B95" s="8" t="s">
        <v>224</v>
      </c>
      <c r="C95" s="8" t="s">
        <v>28</v>
      </c>
      <c r="D95" s="9" t="str">
        <f>vlookup(C95,Dept_Lookup!A$1:B$17,2,false)</f>
        <v>Electronics</v>
      </c>
      <c r="E95" s="14">
        <v>45842.0</v>
      </c>
      <c r="F95" s="10">
        <f t="shared" si="1"/>
        <v>45842</v>
      </c>
      <c r="G95" s="8">
        <v>71.0</v>
      </c>
      <c r="H95" s="8">
        <v>61.0</v>
      </c>
      <c r="I95" s="8">
        <v>77.0</v>
      </c>
      <c r="J95" s="11">
        <f>G95*Scoring_Weights!B$2+H95*Scoring_Weights!B$3+I95*Scoring_Weights!B$4</f>
        <v>70.5</v>
      </c>
      <c r="K95" s="12">
        <v>0.87</v>
      </c>
      <c r="L95" s="8">
        <v>0.91</v>
      </c>
      <c r="M95" s="12">
        <f t="shared" si="2"/>
        <v>0.91</v>
      </c>
      <c r="N95" s="8" t="s">
        <v>21</v>
      </c>
      <c r="O95" s="13">
        <f>vlookup(N95,Interview_Slots!$A$1:$D$5,3,false)</f>
        <v>65</v>
      </c>
      <c r="P95" s="13">
        <f>vlookup(N95,Interview_Slots!$A$1:$D$5,4,false)</f>
        <v>75</v>
      </c>
      <c r="Q95" s="13" t="str">
        <f t="shared" si="3"/>
        <v>Eligible</v>
      </c>
      <c r="R95" s="7" t="s">
        <v>162</v>
      </c>
    </row>
    <row r="96" ht="15.75" customHeight="1">
      <c r="A96" s="8" t="s">
        <v>225</v>
      </c>
      <c r="B96" s="8" t="s">
        <v>226</v>
      </c>
      <c r="C96" s="8" t="s">
        <v>102</v>
      </c>
      <c r="D96" s="9" t="str">
        <f>vlookup(C96,Dept_Lookup!A$1:B$17,2,false)</f>
        <v>Computer Science</v>
      </c>
      <c r="E96" s="14">
        <v>45877.0</v>
      </c>
      <c r="F96" s="10">
        <f t="shared" si="1"/>
        <v>45877</v>
      </c>
      <c r="G96" s="8">
        <v>60.0</v>
      </c>
      <c r="H96" s="8">
        <v>84.0</v>
      </c>
      <c r="I96" s="8">
        <v>64.0</v>
      </c>
      <c r="J96" s="11">
        <f>G96*Scoring_Weights!B$2+H96*Scoring_Weights!B$3+I96*Scoring_Weights!B$4</f>
        <v>70.4</v>
      </c>
      <c r="K96" s="12">
        <v>0.87</v>
      </c>
      <c r="L96" s="8">
        <v>0.78</v>
      </c>
      <c r="M96" s="12">
        <f t="shared" si="2"/>
        <v>0.78</v>
      </c>
      <c r="N96" s="8" t="s">
        <v>21</v>
      </c>
      <c r="O96" s="13">
        <f>vlookup(N96,Interview_Slots!$A$1:$D$5,3,false)</f>
        <v>65</v>
      </c>
      <c r="P96" s="13">
        <f>vlookup(N96,Interview_Slots!$A$1:$D$5,4,false)</f>
        <v>75</v>
      </c>
      <c r="Q96" s="13" t="str">
        <f t="shared" si="3"/>
        <v>Eligible</v>
      </c>
      <c r="R96" s="7" t="s">
        <v>162</v>
      </c>
    </row>
    <row r="97" ht="15.75" customHeight="1">
      <c r="A97" s="8" t="s">
        <v>227</v>
      </c>
      <c r="B97" s="8" t="s">
        <v>228</v>
      </c>
      <c r="C97" s="8" t="s">
        <v>108</v>
      </c>
      <c r="D97" s="9" t="str">
        <f>vlookup(C97,Dept_Lookup!A$1:B$17,2,false)</f>
        <v>Civil</v>
      </c>
      <c r="E97" s="14">
        <v>45877.0</v>
      </c>
      <c r="F97" s="10">
        <f t="shared" si="1"/>
        <v>45877</v>
      </c>
      <c r="G97" s="8">
        <v>88.0</v>
      </c>
      <c r="H97" s="8">
        <v>66.0</v>
      </c>
      <c r="I97" s="8">
        <v>68.0</v>
      </c>
      <c r="J97" s="11">
        <f>G97*Scoring_Weights!B$2+H97*Scoring_Weights!B$3+I97*Scoring_Weights!B$4</f>
        <v>70.3</v>
      </c>
      <c r="K97" s="12">
        <v>0.86</v>
      </c>
      <c r="L97" s="8">
        <v>0.76</v>
      </c>
      <c r="M97" s="12">
        <f t="shared" si="2"/>
        <v>0.76</v>
      </c>
      <c r="N97" s="8" t="s">
        <v>21</v>
      </c>
      <c r="O97" s="13">
        <f>vlookup(N97,Interview_Slots!$A$1:$D$5,3,false)</f>
        <v>65</v>
      </c>
      <c r="P97" s="13">
        <f>vlookup(N97,Interview_Slots!$A$1:$D$5,4,false)</f>
        <v>75</v>
      </c>
      <c r="Q97" s="13" t="str">
        <f t="shared" si="3"/>
        <v>Eligible</v>
      </c>
      <c r="R97" s="7" t="s">
        <v>162</v>
      </c>
    </row>
    <row r="98" ht="15.75" customHeight="1">
      <c r="A98" s="8" t="s">
        <v>229</v>
      </c>
      <c r="B98" s="8" t="s">
        <v>230</v>
      </c>
      <c r="C98" s="8" t="s">
        <v>41</v>
      </c>
      <c r="D98" s="9" t="str">
        <f>vlookup(C98,Dept_Lookup!A$1:B$17,2,false)</f>
        <v>Mechanical</v>
      </c>
      <c r="E98" s="9">
        <v>45872.0</v>
      </c>
      <c r="F98" s="10">
        <f t="shared" si="1"/>
        <v>45872</v>
      </c>
      <c r="G98" s="8">
        <v>74.0</v>
      </c>
      <c r="H98" s="8">
        <v>86.0</v>
      </c>
      <c r="I98" s="8">
        <v>58.0</v>
      </c>
      <c r="J98" s="11">
        <f>G98*Scoring_Weights!B$2+H98*Scoring_Weights!B$3+I98*Scoring_Weights!B$4</f>
        <v>70.2</v>
      </c>
      <c r="K98" s="12">
        <v>0.95</v>
      </c>
      <c r="L98" s="12">
        <v>0.93</v>
      </c>
      <c r="M98" s="12">
        <f t="shared" si="2"/>
        <v>0.93</v>
      </c>
      <c r="N98" s="8" t="s">
        <v>21</v>
      </c>
      <c r="O98" s="13">
        <f>vlookup(N98,Interview_Slots!$A$1:$D$5,3,false)</f>
        <v>65</v>
      </c>
      <c r="P98" s="13">
        <f>vlookup(N98,Interview_Slots!$A$1:$D$5,4,false)</f>
        <v>75</v>
      </c>
      <c r="Q98" s="13" t="str">
        <f t="shared" si="3"/>
        <v>Eligible</v>
      </c>
      <c r="R98" s="7" t="s">
        <v>162</v>
      </c>
    </row>
    <row r="99" ht="15.75" customHeight="1">
      <c r="A99" s="8" t="s">
        <v>231</v>
      </c>
      <c r="B99" s="8" t="s">
        <v>232</v>
      </c>
      <c r="C99" s="8" t="s">
        <v>47</v>
      </c>
      <c r="D99" s="9" t="str">
        <f>vlookup(C99,Dept_Lookup!A$1:B$17,2,false)</f>
        <v>Civil</v>
      </c>
      <c r="E99" s="14">
        <v>45842.0</v>
      </c>
      <c r="F99" s="10">
        <f t="shared" si="1"/>
        <v>45842</v>
      </c>
      <c r="G99" s="8">
        <v>92.0</v>
      </c>
      <c r="H99" s="8">
        <v>66.0</v>
      </c>
      <c r="I99" s="8">
        <v>66.0</v>
      </c>
      <c r="J99" s="11">
        <f>G99*Scoring_Weights!B$2+H99*Scoring_Weights!B$3+I99*Scoring_Weights!B$4</f>
        <v>69.9</v>
      </c>
      <c r="K99" s="12">
        <v>0.95</v>
      </c>
      <c r="L99" s="15">
        <v>0.73</v>
      </c>
      <c r="M99" s="12">
        <f t="shared" si="2"/>
        <v>0.73</v>
      </c>
      <c r="N99" s="8" t="s">
        <v>21</v>
      </c>
      <c r="O99" s="13">
        <f>vlookup(N99,Interview_Slots!$A$1:$D$5,3,false)</f>
        <v>65</v>
      </c>
      <c r="P99" s="13">
        <f>vlookup(N99,Interview_Slots!$A$1:$D$5,4,false)</f>
        <v>75</v>
      </c>
      <c r="Q99" s="13" t="str">
        <f t="shared" si="3"/>
        <v>Eligible</v>
      </c>
      <c r="R99" s="7" t="s">
        <v>162</v>
      </c>
    </row>
    <row r="100" ht="15.75" customHeight="1">
      <c r="A100" s="8" t="s">
        <v>233</v>
      </c>
      <c r="B100" s="8" t="s">
        <v>234</v>
      </c>
      <c r="C100" s="8" t="s">
        <v>102</v>
      </c>
      <c r="D100" s="9" t="str">
        <f>vlookup(C100,Dept_Lookup!A$1:B$17,2,false)</f>
        <v>Computer Science</v>
      </c>
      <c r="E100" s="9">
        <v>45893.0</v>
      </c>
      <c r="F100" s="10">
        <f t="shared" si="1"/>
        <v>45893</v>
      </c>
      <c r="G100" s="8">
        <v>60.0</v>
      </c>
      <c r="H100" s="8">
        <v>82.0</v>
      </c>
      <c r="I100" s="8">
        <v>64.0</v>
      </c>
      <c r="J100" s="11">
        <f>G100*Scoring_Weights!B$2+H100*Scoring_Weights!B$3+I100*Scoring_Weights!B$4</f>
        <v>69.7</v>
      </c>
      <c r="K100" s="12">
        <v>0.82</v>
      </c>
      <c r="L100" s="12">
        <v>0.82</v>
      </c>
      <c r="M100" s="12">
        <f t="shared" si="2"/>
        <v>0.82</v>
      </c>
      <c r="N100" s="8" t="s">
        <v>21</v>
      </c>
      <c r="O100" s="13">
        <f>vlookup(N100,Interview_Slots!$A$1:$D$5,3,false)</f>
        <v>65</v>
      </c>
      <c r="P100" s="13">
        <f>vlookup(N100,Interview_Slots!$A$1:$D$5,4,false)</f>
        <v>75</v>
      </c>
      <c r="Q100" s="13" t="str">
        <f t="shared" si="3"/>
        <v>Eligible</v>
      </c>
      <c r="R100" s="7" t="s">
        <v>162</v>
      </c>
    </row>
    <row r="101" ht="15.75" customHeight="1">
      <c r="A101" s="8" t="s">
        <v>235</v>
      </c>
      <c r="B101" s="8" t="s">
        <v>236</v>
      </c>
      <c r="C101" s="8" t="s">
        <v>102</v>
      </c>
      <c r="D101" s="9" t="str">
        <f>vlookup(C101,Dept_Lookup!A$1:B$17,2,false)</f>
        <v>Computer Science</v>
      </c>
      <c r="E101" s="9">
        <v>45878.0</v>
      </c>
      <c r="F101" s="10">
        <f t="shared" si="1"/>
        <v>45878</v>
      </c>
      <c r="G101" s="8">
        <v>79.0</v>
      </c>
      <c r="H101" s="8">
        <v>83.0</v>
      </c>
      <c r="I101" s="8">
        <v>57.0</v>
      </c>
      <c r="J101" s="11">
        <f>G101*Scoring_Weights!B$2+H101*Scoring_Weights!B$3+I101*Scoring_Weights!B$4</f>
        <v>69.4</v>
      </c>
      <c r="K101" s="12">
        <v>0.82</v>
      </c>
      <c r="L101" s="12">
        <v>0.92</v>
      </c>
      <c r="M101" s="12">
        <f t="shared" si="2"/>
        <v>0.92</v>
      </c>
      <c r="N101" s="8" t="s">
        <v>21</v>
      </c>
      <c r="O101" s="13">
        <f>vlookup(N101,Interview_Slots!$A$1:$D$5,3,false)</f>
        <v>65</v>
      </c>
      <c r="P101" s="13">
        <f>vlookup(N101,Interview_Slots!$A$1:$D$5,4,false)</f>
        <v>75</v>
      </c>
      <c r="Q101" s="13" t="str">
        <f t="shared" si="3"/>
        <v>Eligible</v>
      </c>
      <c r="R101" s="7" t="s">
        <v>162</v>
      </c>
    </row>
    <row r="102" ht="15.75" customHeight="1">
      <c r="A102" s="8" t="s">
        <v>237</v>
      </c>
      <c r="B102" s="8" t="s">
        <v>238</v>
      </c>
      <c r="C102" s="8" t="s">
        <v>35</v>
      </c>
      <c r="D102" s="9" t="str">
        <f>vlookup(C102,Dept_Lookup!A$1:B$17,2,false)</f>
        <v>Electronics</v>
      </c>
      <c r="E102" s="14">
        <v>45865.0</v>
      </c>
      <c r="F102" s="10">
        <f t="shared" si="1"/>
        <v>45865</v>
      </c>
      <c r="G102" s="8">
        <v>98.0</v>
      </c>
      <c r="H102" s="8">
        <v>72.0</v>
      </c>
      <c r="I102" s="8">
        <v>58.0</v>
      </c>
      <c r="J102" s="11">
        <f>G102*Scoring_Weights!B$2+H102*Scoring_Weights!B$3+I102*Scoring_Weights!B$4</f>
        <v>68.9</v>
      </c>
      <c r="K102" s="12">
        <v>0.79</v>
      </c>
      <c r="L102" s="8">
        <v>0.79</v>
      </c>
      <c r="M102" s="12">
        <f t="shared" si="2"/>
        <v>0.79</v>
      </c>
      <c r="N102" s="8" t="s">
        <v>21</v>
      </c>
      <c r="O102" s="13">
        <f>vlookup(N102,Interview_Slots!$A$1:$D$5,3,false)</f>
        <v>65</v>
      </c>
      <c r="P102" s="13">
        <f>vlookup(N102,Interview_Slots!$A$1:$D$5,4,false)</f>
        <v>75</v>
      </c>
      <c r="Q102" s="13" t="str">
        <f t="shared" si="3"/>
        <v>Eligible</v>
      </c>
      <c r="R102" s="7" t="s">
        <v>162</v>
      </c>
    </row>
    <row r="103" ht="15.75" customHeight="1">
      <c r="A103" s="8" t="s">
        <v>239</v>
      </c>
      <c r="B103" s="8" t="s">
        <v>240</v>
      </c>
      <c r="C103" s="8" t="s">
        <v>25</v>
      </c>
      <c r="D103" s="9" t="str">
        <f>vlookup(C103,Dept_Lookup!A$1:B$17,2,false)</f>
        <v>Computer Science</v>
      </c>
      <c r="E103" s="14">
        <v>45885.0</v>
      </c>
      <c r="F103" s="10">
        <f t="shared" si="1"/>
        <v>45885</v>
      </c>
      <c r="G103" s="8">
        <v>98.0</v>
      </c>
      <c r="H103" s="8">
        <v>72.0</v>
      </c>
      <c r="I103" s="8">
        <v>58.0</v>
      </c>
      <c r="J103" s="11">
        <f>G103*Scoring_Weights!B$2+H103*Scoring_Weights!B$3+I103*Scoring_Weights!B$4</f>
        <v>68.9</v>
      </c>
      <c r="K103" s="12">
        <v>0.79</v>
      </c>
      <c r="L103" s="8">
        <v>0.79</v>
      </c>
      <c r="M103" s="12">
        <f t="shared" si="2"/>
        <v>0.79</v>
      </c>
      <c r="N103" s="8" t="s">
        <v>21</v>
      </c>
      <c r="O103" s="13">
        <f>vlookup(N103,Interview_Slots!$A$1:$D$5,3,false)</f>
        <v>65</v>
      </c>
      <c r="P103" s="13">
        <f>vlookup(N103,Interview_Slots!$A$1:$D$5,4,false)</f>
        <v>75</v>
      </c>
      <c r="Q103" s="13" t="str">
        <f t="shared" si="3"/>
        <v>Eligible</v>
      </c>
      <c r="R103" s="7" t="s">
        <v>162</v>
      </c>
    </row>
    <row r="104" ht="15.75" customHeight="1">
      <c r="A104" s="8" t="s">
        <v>241</v>
      </c>
      <c r="B104" s="8" t="s">
        <v>242</v>
      </c>
      <c r="C104" s="8" t="s">
        <v>161</v>
      </c>
      <c r="D104" s="9" t="str">
        <f>vlookup(C104,Dept_Lookup!A$1:B$17,2,false)</f>
        <v>Mechanical</v>
      </c>
      <c r="E104" s="9">
        <v>45893.0</v>
      </c>
      <c r="F104" s="10">
        <f t="shared" si="1"/>
        <v>45893</v>
      </c>
      <c r="G104" s="8">
        <v>79.0</v>
      </c>
      <c r="H104" s="8">
        <v>62.0</v>
      </c>
      <c r="I104" s="8">
        <v>70.0</v>
      </c>
      <c r="J104" s="11">
        <f>G104*Scoring_Weights!B$2+H104*Scoring_Weights!B$3+I104*Scoring_Weights!B$4</f>
        <v>68.55</v>
      </c>
      <c r="K104" s="12">
        <v>0.88</v>
      </c>
      <c r="L104" s="8">
        <v>0.89</v>
      </c>
      <c r="M104" s="12">
        <f t="shared" si="2"/>
        <v>0.89</v>
      </c>
      <c r="N104" s="8" t="s">
        <v>21</v>
      </c>
      <c r="O104" s="13">
        <f>vlookup(N104,Interview_Slots!$A$1:$D$5,3,false)</f>
        <v>65</v>
      </c>
      <c r="P104" s="13">
        <f>vlookup(N104,Interview_Slots!$A$1:$D$5,4,false)</f>
        <v>75</v>
      </c>
      <c r="Q104" s="13" t="str">
        <f t="shared" si="3"/>
        <v>Eligible</v>
      </c>
      <c r="R104" s="7" t="s">
        <v>162</v>
      </c>
    </row>
    <row r="105" ht="15.75" customHeight="1">
      <c r="A105" s="8" t="s">
        <v>243</v>
      </c>
      <c r="B105" s="8" t="s">
        <v>244</v>
      </c>
      <c r="C105" s="8" t="s">
        <v>47</v>
      </c>
      <c r="D105" s="9" t="str">
        <f>vlookup(C105,Dept_Lookup!A$1:B$17,2,false)</f>
        <v>Civil</v>
      </c>
      <c r="E105" s="9">
        <v>45860.0</v>
      </c>
      <c r="F105" s="10">
        <f t="shared" si="1"/>
        <v>45860</v>
      </c>
      <c r="G105" s="8">
        <v>84.0</v>
      </c>
      <c r="H105" s="8">
        <v>57.0</v>
      </c>
      <c r="I105" s="8">
        <v>72.0</v>
      </c>
      <c r="J105" s="11">
        <f>G105*Scoring_Weights!B$2+H105*Scoring_Weights!B$3+I105*Scoring_Weights!B$4</f>
        <v>68.55</v>
      </c>
      <c r="K105" s="12">
        <v>0.82</v>
      </c>
      <c r="L105" s="8">
        <v>0.97</v>
      </c>
      <c r="M105" s="12">
        <f t="shared" si="2"/>
        <v>0.97</v>
      </c>
      <c r="N105" s="8" t="s">
        <v>21</v>
      </c>
      <c r="O105" s="13">
        <f>vlookup(N105,Interview_Slots!$A$1:$D$5,3,false)</f>
        <v>65</v>
      </c>
      <c r="P105" s="13">
        <f>vlookup(N105,Interview_Slots!$A$1:$D$5,4,false)</f>
        <v>75</v>
      </c>
      <c r="Q105" s="13" t="str">
        <f t="shared" si="3"/>
        <v>Eligible</v>
      </c>
      <c r="R105" s="7" t="s">
        <v>162</v>
      </c>
    </row>
    <row r="106" ht="15.75" customHeight="1">
      <c r="A106" s="8" t="s">
        <v>245</v>
      </c>
      <c r="B106" s="8" t="s">
        <v>246</v>
      </c>
      <c r="C106" s="8" t="s">
        <v>161</v>
      </c>
      <c r="D106" s="9" t="str">
        <f>vlookup(C106,Dept_Lookup!A$1:B$17,2,false)</f>
        <v>Mechanical</v>
      </c>
      <c r="E106" s="14">
        <v>45842.0</v>
      </c>
      <c r="F106" s="10">
        <f t="shared" si="1"/>
        <v>45842</v>
      </c>
      <c r="G106" s="8">
        <v>88.0</v>
      </c>
      <c r="H106" s="8">
        <v>73.0</v>
      </c>
      <c r="I106" s="8">
        <v>59.0</v>
      </c>
      <c r="J106" s="11">
        <f>G106*Scoring_Weights!B$2+H106*Scoring_Weights!B$3+I106*Scoring_Weights!B$4</f>
        <v>68.25</v>
      </c>
      <c r="K106" s="12">
        <v>0.9</v>
      </c>
      <c r="L106" s="8">
        <v>0.98</v>
      </c>
      <c r="M106" s="12">
        <f t="shared" si="2"/>
        <v>0.98</v>
      </c>
      <c r="N106" s="8" t="s">
        <v>21</v>
      </c>
      <c r="O106" s="13">
        <f>vlookup(N106,Interview_Slots!$A$1:$D$5,3,false)</f>
        <v>65</v>
      </c>
      <c r="P106" s="13">
        <f>vlookup(N106,Interview_Slots!$A$1:$D$5,4,false)</f>
        <v>75</v>
      </c>
      <c r="Q106" s="13" t="str">
        <f t="shared" si="3"/>
        <v>Eligible</v>
      </c>
      <c r="R106" s="7" t="s">
        <v>162</v>
      </c>
    </row>
    <row r="107" ht="15.75" customHeight="1">
      <c r="A107" s="8" t="s">
        <v>247</v>
      </c>
      <c r="B107" s="8" t="s">
        <v>248</v>
      </c>
      <c r="C107" s="8" t="s">
        <v>41</v>
      </c>
      <c r="D107" s="9" t="str">
        <f>vlookup(C107,Dept_Lookup!A$1:B$17,2,false)</f>
        <v>Mechanical</v>
      </c>
      <c r="E107" s="14">
        <v>45865.0</v>
      </c>
      <c r="F107" s="10">
        <f t="shared" si="1"/>
        <v>45865</v>
      </c>
      <c r="G107" s="8">
        <v>79.0</v>
      </c>
      <c r="H107" s="8">
        <v>72.0</v>
      </c>
      <c r="I107" s="8">
        <v>62.0</v>
      </c>
      <c r="J107" s="11">
        <f>G107*Scoring_Weights!B$2+H107*Scoring_Weights!B$3+I107*Scoring_Weights!B$4</f>
        <v>68.05</v>
      </c>
      <c r="K107" s="12">
        <v>0.91</v>
      </c>
      <c r="L107" s="8">
        <v>0.93</v>
      </c>
      <c r="M107" s="12">
        <f t="shared" si="2"/>
        <v>0.93</v>
      </c>
      <c r="N107" s="8" t="s">
        <v>21</v>
      </c>
      <c r="O107" s="13">
        <f>vlookup(N107,Interview_Slots!$A$1:$D$5,3,false)</f>
        <v>65</v>
      </c>
      <c r="P107" s="13">
        <f>vlookup(N107,Interview_Slots!$A$1:$D$5,4,false)</f>
        <v>75</v>
      </c>
      <c r="Q107" s="13" t="str">
        <f t="shared" si="3"/>
        <v>Eligible</v>
      </c>
      <c r="R107" s="7" t="s">
        <v>162</v>
      </c>
    </row>
    <row r="108" ht="15.75" customHeight="1">
      <c r="A108" s="8" t="s">
        <v>249</v>
      </c>
      <c r="B108" s="8" t="s">
        <v>250</v>
      </c>
      <c r="C108" s="8" t="s">
        <v>50</v>
      </c>
      <c r="D108" s="9" t="str">
        <f>vlookup(C108,Dept_Lookup!A$1:B$17,2,false)</f>
        <v>Electronics</v>
      </c>
      <c r="E108" s="14">
        <v>45865.0</v>
      </c>
      <c r="F108" s="10">
        <f t="shared" si="1"/>
        <v>45865</v>
      </c>
      <c r="G108" s="8">
        <v>61.0</v>
      </c>
      <c r="H108" s="8">
        <v>78.0</v>
      </c>
      <c r="I108" s="8">
        <v>63.0</v>
      </c>
      <c r="J108" s="11">
        <f>G108*Scoring_Weights!B$2+H108*Scoring_Weights!B$3+I108*Scoring_Weights!B$4</f>
        <v>67.95</v>
      </c>
      <c r="K108" s="12">
        <v>0.9</v>
      </c>
      <c r="L108" s="8">
        <v>0.86</v>
      </c>
      <c r="M108" s="12">
        <f t="shared" si="2"/>
        <v>0.86</v>
      </c>
      <c r="N108" s="8" t="s">
        <v>21</v>
      </c>
      <c r="O108" s="13">
        <f>vlookup(N108,Interview_Slots!$A$1:$D$5,3,false)</f>
        <v>65</v>
      </c>
      <c r="P108" s="13">
        <f>vlookup(N108,Interview_Slots!$A$1:$D$5,4,false)</f>
        <v>75</v>
      </c>
      <c r="Q108" s="13" t="str">
        <f t="shared" si="3"/>
        <v>Eligible</v>
      </c>
      <c r="R108" s="7" t="s">
        <v>162</v>
      </c>
    </row>
    <row r="109" ht="15.75" customHeight="1">
      <c r="A109" s="8" t="s">
        <v>251</v>
      </c>
      <c r="B109" s="8" t="s">
        <v>252</v>
      </c>
      <c r="C109" s="8" t="s">
        <v>38</v>
      </c>
      <c r="D109" s="9" t="str">
        <f>vlookup(C109,Dept_Lookup!A$1:B$17,2,false)</f>
        <v>Mechanical</v>
      </c>
      <c r="E109" s="9">
        <v>45872.0</v>
      </c>
      <c r="F109" s="10">
        <f t="shared" si="1"/>
        <v>45872</v>
      </c>
      <c r="G109" s="8">
        <v>70.0</v>
      </c>
      <c r="H109" s="8">
        <v>84.0</v>
      </c>
      <c r="I109" s="8">
        <v>56.0</v>
      </c>
      <c r="J109" s="11">
        <f>G109*Scoring_Weights!B$2+H109*Scoring_Weights!B$3+I109*Scoring_Weights!B$4</f>
        <v>67.9</v>
      </c>
      <c r="K109" s="12">
        <v>0.86</v>
      </c>
      <c r="L109" s="8">
        <v>0.92</v>
      </c>
      <c r="M109" s="12">
        <f t="shared" si="2"/>
        <v>0.92</v>
      </c>
      <c r="N109" s="8" t="s">
        <v>21</v>
      </c>
      <c r="O109" s="13">
        <f>vlookup(N109,Interview_Slots!$A$1:$D$5,3,false)</f>
        <v>65</v>
      </c>
      <c r="P109" s="13">
        <f>vlookup(N109,Interview_Slots!$A$1:$D$5,4,false)</f>
        <v>75</v>
      </c>
      <c r="Q109" s="13" t="str">
        <f t="shared" si="3"/>
        <v>Eligible</v>
      </c>
      <c r="R109" s="7" t="s">
        <v>162</v>
      </c>
    </row>
    <row r="110" ht="15.75" customHeight="1">
      <c r="A110" s="8" t="s">
        <v>253</v>
      </c>
      <c r="B110" s="8" t="s">
        <v>254</v>
      </c>
      <c r="C110" s="8" t="s">
        <v>50</v>
      </c>
      <c r="D110" s="9" t="str">
        <f>vlookup(C110,Dept_Lookup!A$1:B$17,2,false)</f>
        <v>Electronics</v>
      </c>
      <c r="E110" s="14">
        <v>45865.0</v>
      </c>
      <c r="F110" s="10">
        <f t="shared" si="1"/>
        <v>45865</v>
      </c>
      <c r="G110" s="8">
        <v>77.0</v>
      </c>
      <c r="H110" s="8">
        <v>67.0</v>
      </c>
      <c r="I110" s="8">
        <v>65.0</v>
      </c>
      <c r="J110" s="11">
        <f>G110*Scoring_Weights!B$2+H110*Scoring_Weights!B$3+I110*Scoring_Weights!B$4</f>
        <v>67.5</v>
      </c>
      <c r="K110" s="12">
        <v>0.78</v>
      </c>
      <c r="L110" s="12">
        <v>0.91</v>
      </c>
      <c r="M110" s="12">
        <f t="shared" si="2"/>
        <v>0.91</v>
      </c>
      <c r="N110" s="8" t="s">
        <v>21</v>
      </c>
      <c r="O110" s="13">
        <f>vlookup(N110,Interview_Slots!$A$1:$D$5,3,false)</f>
        <v>65</v>
      </c>
      <c r="P110" s="13">
        <f>vlookup(N110,Interview_Slots!$A$1:$D$5,4,false)</f>
        <v>75</v>
      </c>
      <c r="Q110" s="13" t="str">
        <f t="shared" si="3"/>
        <v>Eligible</v>
      </c>
      <c r="R110" s="7" t="s">
        <v>162</v>
      </c>
    </row>
    <row r="111" ht="15.75" customHeight="1">
      <c r="A111" s="8" t="s">
        <v>255</v>
      </c>
      <c r="B111" s="8" t="s">
        <v>256</v>
      </c>
      <c r="C111" s="8" t="s">
        <v>83</v>
      </c>
      <c r="D111" s="9" t="str">
        <f>vlookup(C111,Dept_Lookup!A$1:B$17,2,false)</f>
        <v>Civil</v>
      </c>
      <c r="E111" s="14">
        <v>45865.0</v>
      </c>
      <c r="F111" s="10">
        <f t="shared" si="1"/>
        <v>45865</v>
      </c>
      <c r="G111" s="8">
        <v>65.0</v>
      </c>
      <c r="H111" s="8">
        <v>62.0</v>
      </c>
      <c r="I111" s="8">
        <v>72.0</v>
      </c>
      <c r="J111" s="11">
        <f>G111*Scoring_Weights!B$2+H111*Scoring_Weights!B$3+I111*Scoring_Weights!B$4</f>
        <v>67.45</v>
      </c>
      <c r="K111" s="12">
        <v>0.85</v>
      </c>
      <c r="L111" s="12">
        <v>0.83</v>
      </c>
      <c r="M111" s="12">
        <f t="shared" si="2"/>
        <v>0.83</v>
      </c>
      <c r="N111" s="8" t="s">
        <v>21</v>
      </c>
      <c r="O111" s="13">
        <f>vlookup(N111,Interview_Slots!$A$1:$D$5,3,false)</f>
        <v>65</v>
      </c>
      <c r="P111" s="13">
        <f>vlookup(N111,Interview_Slots!$A$1:$D$5,4,false)</f>
        <v>75</v>
      </c>
      <c r="Q111" s="13" t="str">
        <f t="shared" si="3"/>
        <v>Eligible</v>
      </c>
      <c r="R111" s="7" t="s">
        <v>162</v>
      </c>
    </row>
    <row r="112" ht="15.75" customHeight="1">
      <c r="A112" s="8" t="s">
        <v>257</v>
      </c>
      <c r="B112" s="8" t="s">
        <v>46</v>
      </c>
      <c r="C112" s="8" t="s">
        <v>47</v>
      </c>
      <c r="D112" s="9" t="str">
        <f>vlookup(C112,Dept_Lookup!A$1:B$17,2,false)</f>
        <v>Civil</v>
      </c>
      <c r="E112" s="14">
        <v>45854.0</v>
      </c>
      <c r="F112" s="10">
        <f t="shared" si="1"/>
        <v>45854</v>
      </c>
      <c r="G112" s="8">
        <v>85.0</v>
      </c>
      <c r="H112" s="8">
        <v>74.0</v>
      </c>
      <c r="I112" s="8">
        <v>57.0</v>
      </c>
      <c r="J112" s="11">
        <f>G112*Scoring_Weights!B$2+H112*Scoring_Weights!B$3+I112*Scoring_Weights!B$4</f>
        <v>67.15</v>
      </c>
      <c r="K112" s="12">
        <v>0.79</v>
      </c>
      <c r="L112" s="8">
        <v>0.95</v>
      </c>
      <c r="M112" s="12">
        <f t="shared" si="2"/>
        <v>0.95</v>
      </c>
      <c r="N112" s="8" t="s">
        <v>21</v>
      </c>
      <c r="O112" s="13">
        <f>vlookup(N112,Interview_Slots!$A$1:$D$5,3,false)</f>
        <v>65</v>
      </c>
      <c r="P112" s="13">
        <f>vlookup(N112,Interview_Slots!$A$1:$D$5,4,false)</f>
        <v>75</v>
      </c>
      <c r="Q112" s="13" t="str">
        <f t="shared" si="3"/>
        <v>Eligible</v>
      </c>
      <c r="R112" s="7" t="s">
        <v>162</v>
      </c>
    </row>
    <row r="113" ht="15.75" customHeight="1">
      <c r="A113" s="8" t="s">
        <v>258</v>
      </c>
      <c r="B113" s="8" t="s">
        <v>259</v>
      </c>
      <c r="C113" s="8" t="s">
        <v>25</v>
      </c>
      <c r="D113" s="9" t="str">
        <f>vlookup(C113,Dept_Lookup!A$1:B$17,2,false)</f>
        <v>Computer Science</v>
      </c>
      <c r="E113" s="9">
        <v>45866.0</v>
      </c>
      <c r="F113" s="10">
        <f t="shared" si="1"/>
        <v>45866</v>
      </c>
      <c r="G113" s="8">
        <v>95.0</v>
      </c>
      <c r="H113" s="8">
        <v>65.0</v>
      </c>
      <c r="I113" s="8">
        <v>60.0</v>
      </c>
      <c r="J113" s="11">
        <f>G113*Scoring_Weights!B$2+H113*Scoring_Weights!B$3+I113*Scoring_Weights!B$4</f>
        <v>67</v>
      </c>
      <c r="K113" s="12">
        <v>0.79</v>
      </c>
      <c r="L113" s="8">
        <v>1.0</v>
      </c>
      <c r="M113" s="12">
        <f t="shared" si="2"/>
        <v>1</v>
      </c>
      <c r="N113" s="8" t="s">
        <v>21</v>
      </c>
      <c r="O113" s="13">
        <f>vlookup(N113,Interview_Slots!$A$1:$D$5,3,false)</f>
        <v>65</v>
      </c>
      <c r="P113" s="13">
        <f>vlookup(N113,Interview_Slots!$A$1:$D$5,4,false)</f>
        <v>75</v>
      </c>
      <c r="Q113" s="13" t="str">
        <f t="shared" si="3"/>
        <v>Eligible</v>
      </c>
      <c r="R113" s="7" t="s">
        <v>162</v>
      </c>
    </row>
    <row r="114" ht="15.75" customHeight="1">
      <c r="A114" s="8" t="s">
        <v>260</v>
      </c>
      <c r="B114" s="8" t="s">
        <v>261</v>
      </c>
      <c r="C114" s="8" t="s">
        <v>83</v>
      </c>
      <c r="D114" s="9" t="str">
        <f>vlookup(C114,Dept_Lookup!A$1:B$17,2,false)</f>
        <v>Civil</v>
      </c>
      <c r="E114" s="14">
        <v>45900.0</v>
      </c>
      <c r="F114" s="10">
        <f t="shared" si="1"/>
        <v>45900</v>
      </c>
      <c r="G114" s="8">
        <v>80.0</v>
      </c>
      <c r="H114" s="8">
        <v>74.0</v>
      </c>
      <c r="I114" s="8">
        <v>58.0</v>
      </c>
      <c r="J114" s="11">
        <f>G114*Scoring_Weights!B$2+H114*Scoring_Weights!B$3+I114*Scoring_Weights!B$4</f>
        <v>66.9</v>
      </c>
      <c r="K114" s="12">
        <v>0.85</v>
      </c>
      <c r="L114" s="8">
        <v>0.89</v>
      </c>
      <c r="M114" s="12">
        <f t="shared" si="2"/>
        <v>0.89</v>
      </c>
      <c r="N114" s="8" t="s">
        <v>21</v>
      </c>
      <c r="O114" s="13">
        <f>vlookup(N114,Interview_Slots!$A$1:$D$5,3,false)</f>
        <v>65</v>
      </c>
      <c r="P114" s="13">
        <f>vlookup(N114,Interview_Slots!$A$1:$D$5,4,false)</f>
        <v>75</v>
      </c>
      <c r="Q114" s="13" t="str">
        <f t="shared" si="3"/>
        <v>Eligible</v>
      </c>
      <c r="R114" s="7" t="s">
        <v>162</v>
      </c>
    </row>
    <row r="115" ht="15.75" customHeight="1">
      <c r="A115" s="8" t="s">
        <v>262</v>
      </c>
      <c r="B115" s="8" t="s">
        <v>263</v>
      </c>
      <c r="C115" s="8" t="s">
        <v>44</v>
      </c>
      <c r="D115" s="9" t="str">
        <f>vlookup(C115,Dept_Lookup!A$1:B$17,2,false)</f>
        <v>Computer Science</v>
      </c>
      <c r="E115" s="9">
        <v>45878.0</v>
      </c>
      <c r="F115" s="10">
        <f t="shared" si="1"/>
        <v>45878</v>
      </c>
      <c r="G115" s="8">
        <v>96.0</v>
      </c>
      <c r="H115" s="8">
        <v>64.0</v>
      </c>
      <c r="I115" s="8">
        <v>59.0</v>
      </c>
      <c r="J115" s="11">
        <f>G115*Scoring_Weights!B$2+H115*Scoring_Weights!B$3+I115*Scoring_Weights!B$4</f>
        <v>66.3</v>
      </c>
      <c r="K115" s="12">
        <v>0.86</v>
      </c>
      <c r="L115" s="8">
        <v>0.77</v>
      </c>
      <c r="M115" s="12">
        <f t="shared" si="2"/>
        <v>0.77</v>
      </c>
      <c r="N115" s="8" t="s">
        <v>21</v>
      </c>
      <c r="O115" s="13">
        <f>vlookup(N115,Interview_Slots!$A$1:$D$5,3,false)</f>
        <v>65</v>
      </c>
      <c r="P115" s="13">
        <f>vlookup(N115,Interview_Slots!$A$1:$D$5,4,false)</f>
        <v>75</v>
      </c>
      <c r="Q115" s="13" t="str">
        <f t="shared" si="3"/>
        <v>Eligible</v>
      </c>
      <c r="R115" s="7" t="s">
        <v>162</v>
      </c>
    </row>
    <row r="116" ht="15.75" hidden="1" customHeight="1">
      <c r="A116" s="8" t="s">
        <v>264</v>
      </c>
      <c r="B116" s="8" t="s">
        <v>265</v>
      </c>
      <c r="C116" s="8" t="s">
        <v>83</v>
      </c>
      <c r="D116" s="9" t="str">
        <f>vlookup(C116,Dept_Lookup!A$1:B$17,2,false)</f>
        <v>Civil</v>
      </c>
      <c r="E116" s="14">
        <v>45877.0</v>
      </c>
      <c r="F116" s="10">
        <f t="shared" si="1"/>
        <v>45877</v>
      </c>
      <c r="G116" s="8">
        <v>77.0</v>
      </c>
      <c r="H116" s="8">
        <v>74.0</v>
      </c>
      <c r="I116" s="8">
        <v>55.0</v>
      </c>
      <c r="J116" s="11">
        <f>G116*Scoring_Weights!B$2+H116*Scoring_Weights!B$3+I116*Scoring_Weights!B$4</f>
        <v>64.95</v>
      </c>
      <c r="K116" s="12">
        <v>0.87</v>
      </c>
      <c r="L116" s="8">
        <v>0.92</v>
      </c>
      <c r="M116" s="12">
        <f t="shared" si="2"/>
        <v>0.92</v>
      </c>
      <c r="N116" s="8" t="s">
        <v>21</v>
      </c>
      <c r="O116" s="13">
        <f>vlookup(N116,Interview_Slots!$A$1:$D$5,3,false)</f>
        <v>65</v>
      </c>
      <c r="P116" s="13">
        <f>vlookup(N116,Interview_Slots!$A$1:$D$5,4,false)</f>
        <v>75</v>
      </c>
      <c r="Q116" s="13" t="str">
        <f t="shared" si="3"/>
        <v>Not Eligible</v>
      </c>
    </row>
    <row r="117" ht="15.75" hidden="1" customHeight="1">
      <c r="A117" s="8" t="s">
        <v>266</v>
      </c>
      <c r="B117" s="8" t="s">
        <v>267</v>
      </c>
      <c r="C117" s="8" t="s">
        <v>57</v>
      </c>
      <c r="D117" s="9" t="str">
        <f>vlookup(C117,Dept_Lookup!A$1:B$17,2,false)</f>
        <v>Computer Science</v>
      </c>
      <c r="E117" s="14">
        <v>45842.0</v>
      </c>
      <c r="F117" s="10">
        <f t="shared" si="1"/>
        <v>45842</v>
      </c>
      <c r="G117" s="8">
        <v>57.0</v>
      </c>
      <c r="H117" s="8">
        <v>58.0</v>
      </c>
      <c r="I117" s="8">
        <v>66.0</v>
      </c>
      <c r="J117" s="11">
        <f>G117*Scoring_Weights!B$2+H117*Scoring_Weights!B$3+I117*Scoring_Weights!B$4</f>
        <v>61.85</v>
      </c>
      <c r="K117" s="12">
        <v>0.79</v>
      </c>
      <c r="L117" s="8">
        <v>0.76</v>
      </c>
      <c r="M117" s="12">
        <f t="shared" si="2"/>
        <v>0.76</v>
      </c>
      <c r="N117" s="8" t="s">
        <v>21</v>
      </c>
      <c r="O117" s="13">
        <f>vlookup(N117,Interview_Slots!$A$1:$D$5,3,false)</f>
        <v>65</v>
      </c>
      <c r="P117" s="13">
        <f>vlookup(N117,Interview_Slots!$A$1:$D$5,4,false)</f>
        <v>75</v>
      </c>
      <c r="Q117" s="13" t="str">
        <f t="shared" si="3"/>
        <v>Not Eligible</v>
      </c>
    </row>
    <row r="118" ht="15.75" hidden="1" customHeight="1">
      <c r="A118" s="8" t="s">
        <v>268</v>
      </c>
      <c r="B118" s="8" t="s">
        <v>269</v>
      </c>
      <c r="C118" s="8" t="s">
        <v>72</v>
      </c>
      <c r="D118" s="9" t="str">
        <f>vlookup(C118,Dept_Lookup!A$1:B$17,2,false)</f>
        <v>Mechanical</v>
      </c>
      <c r="E118" s="14">
        <v>45865.0</v>
      </c>
      <c r="F118" s="10">
        <f t="shared" si="1"/>
        <v>45865</v>
      </c>
      <c r="G118" s="8">
        <v>78.0</v>
      </c>
      <c r="H118" s="8">
        <v>58.0</v>
      </c>
      <c r="I118" s="8">
        <v>59.0</v>
      </c>
      <c r="J118" s="11">
        <f>G118*Scoring_Weights!B$2+H118*Scoring_Weights!B$3+I118*Scoring_Weights!B$4</f>
        <v>61.5</v>
      </c>
      <c r="K118" s="12">
        <v>0.81</v>
      </c>
      <c r="L118" s="8">
        <v>0.92</v>
      </c>
      <c r="M118" s="12">
        <f t="shared" si="2"/>
        <v>0.92</v>
      </c>
      <c r="N118" s="8" t="s">
        <v>21</v>
      </c>
      <c r="O118" s="13">
        <f>vlookup(N118,Interview_Slots!$A$1:$D$5,3,false)</f>
        <v>65</v>
      </c>
      <c r="P118" s="13">
        <f>vlookup(N118,Interview_Slots!$A$1:$D$5,4,false)</f>
        <v>75</v>
      </c>
      <c r="Q118" s="13" t="str">
        <f t="shared" si="3"/>
        <v>Not Eligible</v>
      </c>
    </row>
    <row r="119" ht="15.75" customHeight="1">
      <c r="A119" s="8" t="s">
        <v>270</v>
      </c>
      <c r="B119" s="8" t="s">
        <v>271</v>
      </c>
      <c r="C119" s="8" t="s">
        <v>72</v>
      </c>
      <c r="D119" s="9" t="str">
        <f>vlookup(C119,Dept_Lookup!A$1:B$17,2,false)</f>
        <v>Mechanical</v>
      </c>
      <c r="E119" s="14">
        <v>45902.0</v>
      </c>
      <c r="F119" s="10">
        <f t="shared" si="1"/>
        <v>45902</v>
      </c>
      <c r="G119" s="8">
        <v>87.0</v>
      </c>
      <c r="H119" s="8">
        <v>92.0</v>
      </c>
      <c r="I119" s="8">
        <v>98.0</v>
      </c>
      <c r="J119" s="11">
        <f>G119*Scoring_Weights!B$2+H119*Scoring_Weights!B$3+I119*Scoring_Weights!B$4</f>
        <v>94.25</v>
      </c>
      <c r="K119" s="12">
        <v>0.82</v>
      </c>
      <c r="L119" s="12">
        <v>0.77</v>
      </c>
      <c r="M119" s="12">
        <f t="shared" si="2"/>
        <v>0.77</v>
      </c>
      <c r="N119" s="8" t="s">
        <v>272</v>
      </c>
      <c r="O119" s="13">
        <f>vlookup(N119,Interview_Slots!$A$1:$D$5,3,false)</f>
        <v>70</v>
      </c>
      <c r="P119" s="13">
        <f>vlookup(N119,Interview_Slots!$A$1:$D$5,4,false)</f>
        <v>80</v>
      </c>
      <c r="Q119" s="13" t="str">
        <f t="shared" si="3"/>
        <v>Eligible</v>
      </c>
      <c r="R119" s="7" t="s">
        <v>22</v>
      </c>
    </row>
    <row r="120" ht="15.75" customHeight="1">
      <c r="A120" s="8" t="s">
        <v>273</v>
      </c>
      <c r="B120" s="8" t="s">
        <v>274</v>
      </c>
      <c r="C120" s="8" t="s">
        <v>57</v>
      </c>
      <c r="D120" s="9" t="str">
        <f>vlookup(C120,Dept_Lookup!A$1:B$17,2,false)</f>
        <v>Computer Science</v>
      </c>
      <c r="E120" s="14">
        <v>45868.0</v>
      </c>
      <c r="F120" s="10">
        <f t="shared" si="1"/>
        <v>45868</v>
      </c>
      <c r="G120" s="8">
        <v>77.0</v>
      </c>
      <c r="H120" s="8">
        <v>93.0</v>
      </c>
      <c r="I120" s="8">
        <v>99.0</v>
      </c>
      <c r="J120" s="11">
        <f>G120*Scoring_Weights!B$2+H120*Scoring_Weights!B$3+I120*Scoring_Weights!B$4</f>
        <v>93.6</v>
      </c>
      <c r="K120" s="12">
        <v>0.94</v>
      </c>
      <c r="L120" s="8">
        <v>0.78</v>
      </c>
      <c r="M120" s="12">
        <f t="shared" si="2"/>
        <v>0.78</v>
      </c>
      <c r="N120" s="8" t="s">
        <v>272</v>
      </c>
      <c r="O120" s="13">
        <f>vlookup(N120,Interview_Slots!$A$1:$D$5,3,false)</f>
        <v>70</v>
      </c>
      <c r="P120" s="13">
        <f>vlookup(N120,Interview_Slots!$A$1:$D$5,4,false)</f>
        <v>80</v>
      </c>
      <c r="Q120" s="13" t="str">
        <f t="shared" si="3"/>
        <v>Eligible</v>
      </c>
      <c r="R120" s="7" t="s">
        <v>22</v>
      </c>
    </row>
    <row r="121" ht="15.75" hidden="1" customHeight="1">
      <c r="A121" s="8" t="s">
        <v>275</v>
      </c>
      <c r="B121" s="8" t="s">
        <v>176</v>
      </c>
      <c r="C121" s="8" t="s">
        <v>38</v>
      </c>
      <c r="D121" s="9" t="str">
        <f>vlookup(C121,Dept_Lookup!A$1:B$17,2,false)</f>
        <v>Mechanical</v>
      </c>
      <c r="E121" s="14">
        <v>45880.0</v>
      </c>
      <c r="F121" s="10">
        <f t="shared" si="1"/>
        <v>45880</v>
      </c>
      <c r="G121" s="8">
        <v>78.0</v>
      </c>
      <c r="H121" s="8">
        <v>99.0</v>
      </c>
      <c r="I121" s="8">
        <v>93.0</v>
      </c>
      <c r="J121" s="11">
        <f>G121*Scoring_Weights!B$2+H121*Scoring_Weights!B$3+I121*Scoring_Weights!B$4</f>
        <v>92.85</v>
      </c>
      <c r="K121" s="12">
        <v>0.78</v>
      </c>
      <c r="L121" s="8">
        <v>0.82</v>
      </c>
      <c r="M121" s="12">
        <f t="shared" si="2"/>
        <v>0.82</v>
      </c>
      <c r="N121" s="8" t="s">
        <v>272</v>
      </c>
      <c r="O121" s="13">
        <f>vlookup(N121,Interview_Slots!$A$1:$D$5,3,false)</f>
        <v>70</v>
      </c>
      <c r="P121" s="13">
        <f>vlookup(N121,Interview_Slots!$A$1:$D$5,4,false)</f>
        <v>80</v>
      </c>
      <c r="Q121" s="13" t="str">
        <f t="shared" si="3"/>
        <v>Not Eligible</v>
      </c>
    </row>
    <row r="122" ht="15.75" hidden="1" customHeight="1">
      <c r="A122" s="8" t="s">
        <v>276</v>
      </c>
      <c r="B122" s="8" t="s">
        <v>277</v>
      </c>
      <c r="C122" s="8" t="s">
        <v>38</v>
      </c>
      <c r="D122" s="9" t="str">
        <f>vlookup(C122,Dept_Lookup!A$1:B$17,2,false)</f>
        <v>Mechanical</v>
      </c>
      <c r="E122" s="9">
        <v>45878.0</v>
      </c>
      <c r="F122" s="10">
        <f t="shared" si="1"/>
        <v>45878</v>
      </c>
      <c r="G122" s="8">
        <v>96.0</v>
      </c>
      <c r="H122" s="8">
        <v>88.0</v>
      </c>
      <c r="I122" s="8">
        <v>92.0</v>
      </c>
      <c r="J122" s="11">
        <f>G122*Scoring_Weights!B$2+H122*Scoring_Weights!B$3+I122*Scoring_Weights!B$4</f>
        <v>91.2</v>
      </c>
      <c r="K122" s="12">
        <v>0.75</v>
      </c>
      <c r="L122" s="12">
        <v>0.8</v>
      </c>
      <c r="M122" s="12">
        <f t="shared" si="2"/>
        <v>0.8</v>
      </c>
      <c r="N122" s="8" t="s">
        <v>272</v>
      </c>
      <c r="O122" s="13">
        <f>vlookup(N122,Interview_Slots!$A$1:$D$5,3,false)</f>
        <v>70</v>
      </c>
      <c r="P122" s="13">
        <f>vlookup(N122,Interview_Slots!$A$1:$D$5,4,false)</f>
        <v>80</v>
      </c>
      <c r="Q122" s="13" t="str">
        <f t="shared" si="3"/>
        <v>Not Eligible</v>
      </c>
    </row>
    <row r="123" ht="15.75" customHeight="1">
      <c r="A123" s="8" t="s">
        <v>278</v>
      </c>
      <c r="B123" s="8" t="s">
        <v>279</v>
      </c>
      <c r="C123" s="8" t="s">
        <v>20</v>
      </c>
      <c r="D123" s="9" t="str">
        <f>vlookup(C123,Dept_Lookup!A$1:B$17,2,false)</f>
        <v>Electronics</v>
      </c>
      <c r="E123" s="14">
        <v>45870.0</v>
      </c>
      <c r="F123" s="10">
        <f t="shared" si="1"/>
        <v>45870</v>
      </c>
      <c r="G123" s="8">
        <v>93.0</v>
      </c>
      <c r="H123" s="8">
        <v>83.0</v>
      </c>
      <c r="I123" s="8">
        <v>96.0</v>
      </c>
      <c r="J123" s="11">
        <f>G123*Scoring_Weights!B$2+H123*Scoring_Weights!B$3+I123*Scoring_Weights!B$4</f>
        <v>91</v>
      </c>
      <c r="K123" s="12">
        <v>0.92</v>
      </c>
      <c r="L123" s="8">
        <v>1.0</v>
      </c>
      <c r="M123" s="12">
        <f t="shared" si="2"/>
        <v>1</v>
      </c>
      <c r="N123" s="8" t="s">
        <v>272</v>
      </c>
      <c r="O123" s="13">
        <f>vlookup(N123,Interview_Slots!$A$1:$D$5,3,false)</f>
        <v>70</v>
      </c>
      <c r="P123" s="13">
        <f>vlookup(N123,Interview_Slots!$A$1:$D$5,4,false)</f>
        <v>80</v>
      </c>
      <c r="Q123" s="13" t="str">
        <f t="shared" si="3"/>
        <v>Eligible</v>
      </c>
      <c r="R123" s="7" t="s">
        <v>22</v>
      </c>
    </row>
    <row r="124" ht="15.75" customHeight="1">
      <c r="A124" s="8" t="s">
        <v>280</v>
      </c>
      <c r="B124" s="8" t="s">
        <v>281</v>
      </c>
      <c r="C124" s="8" t="s">
        <v>38</v>
      </c>
      <c r="D124" s="9" t="str">
        <f>vlookup(C124,Dept_Lookup!A$1:B$17,2,false)</f>
        <v>Mechanical</v>
      </c>
      <c r="E124" s="14">
        <v>45903.0</v>
      </c>
      <c r="F124" s="10">
        <f t="shared" si="1"/>
        <v>45903</v>
      </c>
      <c r="G124" s="8">
        <v>92.0</v>
      </c>
      <c r="H124" s="8">
        <v>83.0</v>
      </c>
      <c r="I124" s="8">
        <v>96.0</v>
      </c>
      <c r="J124" s="11">
        <f>G124*Scoring_Weights!B$2+H124*Scoring_Weights!B$3+I124*Scoring_Weights!B$4</f>
        <v>90.85</v>
      </c>
      <c r="K124" s="12">
        <v>0.82</v>
      </c>
      <c r="L124" s="8">
        <v>0.79</v>
      </c>
      <c r="M124" s="12">
        <f t="shared" si="2"/>
        <v>0.79</v>
      </c>
      <c r="N124" s="8" t="s">
        <v>272</v>
      </c>
      <c r="O124" s="13">
        <f>vlookup(N124,Interview_Slots!$A$1:$D$5,3,false)</f>
        <v>70</v>
      </c>
      <c r="P124" s="13">
        <f>vlookup(N124,Interview_Slots!$A$1:$D$5,4,false)</f>
        <v>80</v>
      </c>
      <c r="Q124" s="13" t="str">
        <f t="shared" si="3"/>
        <v>Eligible</v>
      </c>
      <c r="R124" s="7" t="s">
        <v>22</v>
      </c>
    </row>
    <row r="125" ht="15.75" customHeight="1">
      <c r="A125" s="8" t="s">
        <v>282</v>
      </c>
      <c r="B125" s="8" t="s">
        <v>283</v>
      </c>
      <c r="C125" s="8" t="s">
        <v>105</v>
      </c>
      <c r="D125" s="9" t="str">
        <f>vlookup(C125,Dept_Lookup!A$1:B$17,2,false)</f>
        <v>Civil</v>
      </c>
      <c r="E125" s="14">
        <v>45865.0</v>
      </c>
      <c r="F125" s="10">
        <f t="shared" si="1"/>
        <v>45865</v>
      </c>
      <c r="G125" s="8">
        <v>76.0</v>
      </c>
      <c r="H125" s="8">
        <v>98.0</v>
      </c>
      <c r="I125" s="8">
        <v>90.0</v>
      </c>
      <c r="J125" s="11">
        <f>G125*Scoring_Weights!B$2+H125*Scoring_Weights!B$3+I125*Scoring_Weights!B$4</f>
        <v>90.7</v>
      </c>
      <c r="K125" s="12">
        <v>0.92</v>
      </c>
      <c r="L125" s="8">
        <v>0.95</v>
      </c>
      <c r="M125" s="12">
        <f t="shared" si="2"/>
        <v>0.95</v>
      </c>
      <c r="N125" s="8" t="s">
        <v>272</v>
      </c>
      <c r="O125" s="13">
        <f>vlookup(N125,Interview_Slots!$A$1:$D$5,3,false)</f>
        <v>70</v>
      </c>
      <c r="P125" s="13">
        <f>vlookup(N125,Interview_Slots!$A$1:$D$5,4,false)</f>
        <v>80</v>
      </c>
      <c r="Q125" s="13" t="str">
        <f t="shared" si="3"/>
        <v>Eligible</v>
      </c>
      <c r="R125" s="7" t="s">
        <v>22</v>
      </c>
    </row>
    <row r="126" ht="15.75" customHeight="1">
      <c r="A126" s="8" t="s">
        <v>284</v>
      </c>
      <c r="B126" s="8" t="s">
        <v>285</v>
      </c>
      <c r="C126" s="8" t="s">
        <v>28</v>
      </c>
      <c r="D126" s="9" t="str">
        <f>vlookup(C126,Dept_Lookup!A$1:B$17,2,false)</f>
        <v>Electronics</v>
      </c>
      <c r="E126" s="14">
        <v>45879.0</v>
      </c>
      <c r="F126" s="10">
        <f t="shared" si="1"/>
        <v>45879</v>
      </c>
      <c r="G126" s="8">
        <v>87.0</v>
      </c>
      <c r="H126" s="8">
        <v>96.0</v>
      </c>
      <c r="I126" s="8">
        <v>88.0</v>
      </c>
      <c r="J126" s="11">
        <f>G126*Scoring_Weights!B$2+H126*Scoring_Weights!B$3+I126*Scoring_Weights!B$4</f>
        <v>90.65</v>
      </c>
      <c r="K126" s="12">
        <v>0.91</v>
      </c>
      <c r="L126" s="8">
        <v>0.76</v>
      </c>
      <c r="M126" s="12">
        <f t="shared" si="2"/>
        <v>0.76</v>
      </c>
      <c r="N126" s="8" t="s">
        <v>272</v>
      </c>
      <c r="O126" s="13">
        <f>vlookup(N126,Interview_Slots!$A$1:$D$5,3,false)</f>
        <v>70</v>
      </c>
      <c r="P126" s="13">
        <f>vlookup(N126,Interview_Slots!$A$1:$D$5,4,false)</f>
        <v>80</v>
      </c>
      <c r="Q126" s="13" t="str">
        <f t="shared" si="3"/>
        <v>Eligible</v>
      </c>
      <c r="R126" s="7" t="s">
        <v>22</v>
      </c>
    </row>
    <row r="127" ht="15.75" hidden="1" customHeight="1">
      <c r="A127" s="8" t="s">
        <v>286</v>
      </c>
      <c r="B127" s="8" t="s">
        <v>228</v>
      </c>
      <c r="C127" s="8" t="s">
        <v>108</v>
      </c>
      <c r="D127" s="9" t="str">
        <f>vlookup(C127,Dept_Lookup!A$1:B$17,2,false)</f>
        <v>Civil</v>
      </c>
      <c r="E127" s="14">
        <v>45845.0</v>
      </c>
      <c r="F127" s="10">
        <f t="shared" si="1"/>
        <v>45845</v>
      </c>
      <c r="G127" s="8">
        <v>78.0</v>
      </c>
      <c r="H127" s="8">
        <v>82.0</v>
      </c>
      <c r="I127" s="8">
        <v>100.0</v>
      </c>
      <c r="J127" s="11">
        <f>G127*Scoring_Weights!B$2+H127*Scoring_Weights!B$3+I127*Scoring_Weights!B$4</f>
        <v>90.4</v>
      </c>
      <c r="K127" s="12">
        <v>0.78</v>
      </c>
      <c r="L127" s="12">
        <v>0.81</v>
      </c>
      <c r="M127" s="12">
        <f t="shared" si="2"/>
        <v>0.81</v>
      </c>
      <c r="N127" s="8" t="s">
        <v>272</v>
      </c>
      <c r="O127" s="13">
        <f>vlookup(N127,Interview_Slots!$A$1:$D$5,3,false)</f>
        <v>70</v>
      </c>
      <c r="P127" s="13">
        <f>vlookup(N127,Interview_Slots!$A$1:$D$5,4,false)</f>
        <v>80</v>
      </c>
      <c r="Q127" s="13" t="str">
        <f t="shared" si="3"/>
        <v>Not Eligible</v>
      </c>
    </row>
    <row r="128" ht="15.75" customHeight="1">
      <c r="A128" s="8" t="s">
        <v>287</v>
      </c>
      <c r="B128" s="8" t="s">
        <v>288</v>
      </c>
      <c r="C128" s="8" t="s">
        <v>83</v>
      </c>
      <c r="D128" s="9" t="str">
        <f>vlookup(C128,Dept_Lookup!A$1:B$17,2,false)</f>
        <v>Civil</v>
      </c>
      <c r="E128" s="14">
        <v>45865.0</v>
      </c>
      <c r="F128" s="10">
        <f t="shared" si="1"/>
        <v>45865</v>
      </c>
      <c r="G128" s="8">
        <v>95.0</v>
      </c>
      <c r="H128" s="8">
        <v>79.0</v>
      </c>
      <c r="I128" s="8">
        <v>95.0</v>
      </c>
      <c r="J128" s="11">
        <f>G128*Scoring_Weights!B$2+H128*Scoring_Weights!B$3+I128*Scoring_Weights!B$4</f>
        <v>89.4</v>
      </c>
      <c r="K128" s="12">
        <v>0.8</v>
      </c>
      <c r="L128" s="8">
        <v>0.79</v>
      </c>
      <c r="M128" s="12">
        <f t="shared" si="2"/>
        <v>0.79</v>
      </c>
      <c r="N128" s="8" t="s">
        <v>272</v>
      </c>
      <c r="O128" s="13">
        <f>vlookup(N128,Interview_Slots!$A$1:$D$5,3,false)</f>
        <v>70</v>
      </c>
      <c r="P128" s="13">
        <f>vlookup(N128,Interview_Slots!$A$1:$D$5,4,false)</f>
        <v>80</v>
      </c>
      <c r="Q128" s="13" t="str">
        <f t="shared" si="3"/>
        <v>Eligible</v>
      </c>
      <c r="R128" s="7" t="s">
        <v>22</v>
      </c>
    </row>
    <row r="129" ht="15.75" customHeight="1">
      <c r="A129" s="8" t="s">
        <v>289</v>
      </c>
      <c r="B129" s="8" t="s">
        <v>244</v>
      </c>
      <c r="C129" s="8" t="s">
        <v>47</v>
      </c>
      <c r="D129" s="9" t="str">
        <f>vlookup(C129,Dept_Lookup!A$1:B$17,2,false)</f>
        <v>Civil</v>
      </c>
      <c r="E129" s="9">
        <v>45863.0</v>
      </c>
      <c r="F129" s="10">
        <f t="shared" si="1"/>
        <v>45863</v>
      </c>
      <c r="G129" s="8">
        <v>97.0</v>
      </c>
      <c r="H129" s="8">
        <v>88.0</v>
      </c>
      <c r="I129" s="8">
        <v>87.0</v>
      </c>
      <c r="J129" s="11">
        <f>G129*Scoring_Weights!B$2+H129*Scoring_Weights!B$3+I129*Scoring_Weights!B$4</f>
        <v>88.85</v>
      </c>
      <c r="K129" s="12">
        <v>0.81</v>
      </c>
      <c r="L129" s="8">
        <v>0.81</v>
      </c>
      <c r="M129" s="12">
        <f t="shared" si="2"/>
        <v>0.81</v>
      </c>
      <c r="N129" s="8" t="s">
        <v>272</v>
      </c>
      <c r="O129" s="13">
        <f>vlookup(N129,Interview_Slots!$A$1:$D$5,3,false)</f>
        <v>70</v>
      </c>
      <c r="P129" s="13">
        <f>vlookup(N129,Interview_Slots!$A$1:$D$5,4,false)</f>
        <v>80</v>
      </c>
      <c r="Q129" s="13" t="str">
        <f t="shared" si="3"/>
        <v>Eligible</v>
      </c>
      <c r="R129" s="7" t="s">
        <v>22</v>
      </c>
    </row>
    <row r="130" ht="15.75" customHeight="1">
      <c r="A130" s="8" t="s">
        <v>290</v>
      </c>
      <c r="B130" s="8" t="s">
        <v>291</v>
      </c>
      <c r="C130" s="8" t="s">
        <v>102</v>
      </c>
      <c r="D130" s="9" t="str">
        <f>vlookup(C130,Dept_Lookup!A$1:B$17,2,false)</f>
        <v>Computer Science</v>
      </c>
      <c r="E130" s="14">
        <v>45865.0</v>
      </c>
      <c r="F130" s="10">
        <f t="shared" si="1"/>
        <v>45865</v>
      </c>
      <c r="G130" s="8">
        <v>88.0</v>
      </c>
      <c r="H130" s="8">
        <v>97.0</v>
      </c>
      <c r="I130" s="8">
        <v>83.0</v>
      </c>
      <c r="J130" s="11">
        <f>G130*Scoring_Weights!B$2+H130*Scoring_Weights!B$3+I130*Scoring_Weights!B$4</f>
        <v>88.65</v>
      </c>
      <c r="K130" s="12">
        <v>0.94</v>
      </c>
      <c r="L130" s="8">
        <v>0.98</v>
      </c>
      <c r="M130" s="12">
        <f t="shared" si="2"/>
        <v>0.98</v>
      </c>
      <c r="N130" s="8" t="s">
        <v>272</v>
      </c>
      <c r="O130" s="13">
        <f>vlookup(N130,Interview_Slots!$A$1:$D$5,3,false)</f>
        <v>70</v>
      </c>
      <c r="P130" s="13">
        <f>vlookup(N130,Interview_Slots!$A$1:$D$5,4,false)</f>
        <v>80</v>
      </c>
      <c r="Q130" s="13" t="str">
        <f t="shared" si="3"/>
        <v>Eligible</v>
      </c>
      <c r="R130" s="7" t="s">
        <v>22</v>
      </c>
    </row>
    <row r="131" ht="15.75" hidden="1" customHeight="1">
      <c r="A131" s="8" t="s">
        <v>292</v>
      </c>
      <c r="B131" s="8" t="s">
        <v>293</v>
      </c>
      <c r="C131" s="8" t="s">
        <v>38</v>
      </c>
      <c r="D131" s="9" t="str">
        <f>vlookup(C131,Dept_Lookup!A$1:B$17,2,false)</f>
        <v>Mechanical</v>
      </c>
      <c r="E131" s="14">
        <v>45865.0</v>
      </c>
      <c r="F131" s="10">
        <f t="shared" si="1"/>
        <v>45865</v>
      </c>
      <c r="G131" s="8">
        <v>95.0</v>
      </c>
      <c r="H131" s="8">
        <v>78.0</v>
      </c>
      <c r="I131" s="8">
        <v>94.0</v>
      </c>
      <c r="J131" s="11">
        <f>G131*Scoring_Weights!B$2+H131*Scoring_Weights!B$3+I131*Scoring_Weights!B$4</f>
        <v>88.55</v>
      </c>
      <c r="K131" s="12">
        <v>0.76</v>
      </c>
      <c r="L131" s="12">
        <v>0.84</v>
      </c>
      <c r="M131" s="12">
        <f t="shared" si="2"/>
        <v>0.84</v>
      </c>
      <c r="N131" s="8" t="s">
        <v>272</v>
      </c>
      <c r="O131" s="13">
        <f>vlookup(N131,Interview_Slots!$A$1:$D$5,3,false)</f>
        <v>70</v>
      </c>
      <c r="P131" s="13">
        <f>vlookup(N131,Interview_Slots!$A$1:$D$5,4,false)</f>
        <v>80</v>
      </c>
      <c r="Q131" s="13" t="str">
        <f t="shared" si="3"/>
        <v>Not Eligible</v>
      </c>
    </row>
    <row r="132" ht="15.75" customHeight="1">
      <c r="A132" s="8" t="s">
        <v>294</v>
      </c>
      <c r="B132" s="8" t="s">
        <v>295</v>
      </c>
      <c r="C132" s="8" t="s">
        <v>38</v>
      </c>
      <c r="D132" s="9" t="str">
        <f>vlookup(C132,Dept_Lookup!A$1:B$17,2,false)</f>
        <v>Mechanical</v>
      </c>
      <c r="E132" s="9">
        <v>45878.0</v>
      </c>
      <c r="F132" s="10">
        <f t="shared" si="1"/>
        <v>45878</v>
      </c>
      <c r="G132" s="8">
        <v>94.0</v>
      </c>
      <c r="H132" s="8">
        <v>78.0</v>
      </c>
      <c r="I132" s="8">
        <v>94.0</v>
      </c>
      <c r="J132" s="11">
        <f>G132*Scoring_Weights!B$2+H132*Scoring_Weights!B$3+I132*Scoring_Weights!B$4</f>
        <v>88.4</v>
      </c>
      <c r="K132" s="12">
        <v>0.82</v>
      </c>
      <c r="L132" s="8">
        <v>0.79</v>
      </c>
      <c r="M132" s="12">
        <f t="shared" si="2"/>
        <v>0.79</v>
      </c>
      <c r="N132" s="8" t="s">
        <v>272</v>
      </c>
      <c r="O132" s="13">
        <f>vlookup(N132,Interview_Slots!$A$1:$D$5,3,false)</f>
        <v>70</v>
      </c>
      <c r="P132" s="13">
        <f>vlookup(N132,Interview_Slots!$A$1:$D$5,4,false)</f>
        <v>80</v>
      </c>
      <c r="Q132" s="13" t="str">
        <f t="shared" si="3"/>
        <v>Eligible</v>
      </c>
      <c r="R132" s="7" t="s">
        <v>22</v>
      </c>
    </row>
    <row r="133" ht="15.75" customHeight="1">
      <c r="A133" s="8" t="s">
        <v>296</v>
      </c>
      <c r="B133" s="8" t="s">
        <v>297</v>
      </c>
      <c r="C133" s="8" t="s">
        <v>47</v>
      </c>
      <c r="D133" s="9" t="str">
        <f>vlookup(C133,Dept_Lookup!A$1:B$17,2,false)</f>
        <v>Civil</v>
      </c>
      <c r="E133" s="9">
        <v>45860.0</v>
      </c>
      <c r="F133" s="10">
        <f t="shared" si="1"/>
        <v>45860</v>
      </c>
      <c r="G133" s="8">
        <v>68.0</v>
      </c>
      <c r="H133" s="8">
        <v>83.0</v>
      </c>
      <c r="I133" s="8">
        <v>98.0</v>
      </c>
      <c r="J133" s="11">
        <f>G133*Scoring_Weights!B$2+H133*Scoring_Weights!B$3+I133*Scoring_Weights!B$4</f>
        <v>88.25</v>
      </c>
      <c r="K133" s="12">
        <v>0.83</v>
      </c>
      <c r="L133" s="8">
        <v>0.9</v>
      </c>
      <c r="M133" s="12">
        <f t="shared" si="2"/>
        <v>0.9</v>
      </c>
      <c r="N133" s="8" t="s">
        <v>272</v>
      </c>
      <c r="O133" s="13">
        <f>vlookup(N133,Interview_Slots!$A$1:$D$5,3,false)</f>
        <v>70</v>
      </c>
      <c r="P133" s="13">
        <f>vlookup(N133,Interview_Slots!$A$1:$D$5,4,false)</f>
        <v>80</v>
      </c>
      <c r="Q133" s="13" t="str">
        <f t="shared" si="3"/>
        <v>Eligible</v>
      </c>
      <c r="R133" s="7" t="s">
        <v>22</v>
      </c>
    </row>
    <row r="134" ht="15.75" hidden="1" customHeight="1">
      <c r="A134" s="8" t="s">
        <v>298</v>
      </c>
      <c r="B134" s="8" t="s">
        <v>54</v>
      </c>
      <c r="C134" s="8" t="s">
        <v>44</v>
      </c>
      <c r="D134" s="9" t="str">
        <f>vlookup(C134,Dept_Lookup!A$1:B$17,2,false)</f>
        <v>Computer Science</v>
      </c>
      <c r="E134" s="14">
        <v>45880.0</v>
      </c>
      <c r="F134" s="10">
        <f t="shared" si="1"/>
        <v>45880</v>
      </c>
      <c r="G134" s="8">
        <v>87.0</v>
      </c>
      <c r="H134" s="8">
        <v>79.0</v>
      </c>
      <c r="I134" s="8">
        <v>94.0</v>
      </c>
      <c r="J134" s="11">
        <f>G134*Scoring_Weights!B$2+H134*Scoring_Weights!B$3+I134*Scoring_Weights!B$4</f>
        <v>87.7</v>
      </c>
      <c r="K134" s="12">
        <v>0.79</v>
      </c>
      <c r="L134" s="12">
        <v>0.75</v>
      </c>
      <c r="M134" s="12">
        <f t="shared" si="2"/>
        <v>0.75</v>
      </c>
      <c r="N134" s="8" t="s">
        <v>272</v>
      </c>
      <c r="O134" s="13">
        <f>vlookup(N134,Interview_Slots!$A$1:$D$5,3,false)</f>
        <v>70</v>
      </c>
      <c r="P134" s="13">
        <f>vlookup(N134,Interview_Slots!$A$1:$D$5,4,false)</f>
        <v>80</v>
      </c>
      <c r="Q134" s="13" t="str">
        <f t="shared" si="3"/>
        <v>Not Eligible</v>
      </c>
    </row>
    <row r="135" ht="15.75" customHeight="1">
      <c r="A135" s="8" t="s">
        <v>299</v>
      </c>
      <c r="B135" s="8" t="s">
        <v>300</v>
      </c>
      <c r="C135" s="8" t="s">
        <v>161</v>
      </c>
      <c r="D135" s="9" t="str">
        <f>vlookup(C135,Dept_Lookup!A$1:B$17,2,false)</f>
        <v>Mechanical</v>
      </c>
      <c r="E135" s="9">
        <v>45866.0</v>
      </c>
      <c r="F135" s="10">
        <f t="shared" si="1"/>
        <v>45866</v>
      </c>
      <c r="G135" s="8">
        <v>69.0</v>
      </c>
      <c r="H135" s="8">
        <v>98.0</v>
      </c>
      <c r="I135" s="8">
        <v>86.0</v>
      </c>
      <c r="J135" s="11">
        <f>G135*Scoring_Weights!B$2+H135*Scoring_Weights!B$3+I135*Scoring_Weights!B$4</f>
        <v>87.65</v>
      </c>
      <c r="K135" s="12">
        <v>0.93</v>
      </c>
      <c r="L135" s="8">
        <v>0.83</v>
      </c>
      <c r="M135" s="12">
        <f t="shared" si="2"/>
        <v>0.83</v>
      </c>
      <c r="N135" s="8" t="s">
        <v>272</v>
      </c>
      <c r="O135" s="13">
        <f>vlookup(N135,Interview_Slots!$A$1:$D$5,3,false)</f>
        <v>70</v>
      </c>
      <c r="P135" s="13">
        <f>vlookup(N135,Interview_Slots!$A$1:$D$5,4,false)</f>
        <v>80</v>
      </c>
      <c r="Q135" s="13" t="str">
        <f t="shared" si="3"/>
        <v>Eligible</v>
      </c>
      <c r="R135" s="7" t="s">
        <v>22</v>
      </c>
    </row>
    <row r="136" ht="15.75" customHeight="1">
      <c r="A136" s="8" t="s">
        <v>301</v>
      </c>
      <c r="B136" s="8" t="s">
        <v>302</v>
      </c>
      <c r="C136" s="8" t="s">
        <v>161</v>
      </c>
      <c r="D136" s="9" t="str">
        <f>vlookup(C136,Dept_Lookup!A$1:B$17,2,false)</f>
        <v>Mechanical</v>
      </c>
      <c r="E136" s="14">
        <v>45865.0</v>
      </c>
      <c r="F136" s="10">
        <f t="shared" si="1"/>
        <v>45865</v>
      </c>
      <c r="G136" s="8">
        <v>56.0</v>
      </c>
      <c r="H136" s="8">
        <v>85.0</v>
      </c>
      <c r="I136" s="8">
        <v>97.0</v>
      </c>
      <c r="J136" s="11">
        <f>G136*Scoring_Weights!B$2+H136*Scoring_Weights!B$3+I136*Scoring_Weights!B$4</f>
        <v>86.65</v>
      </c>
      <c r="K136" s="12">
        <v>0.83</v>
      </c>
      <c r="L136" s="8">
        <v>0.83</v>
      </c>
      <c r="M136" s="12">
        <f t="shared" si="2"/>
        <v>0.83</v>
      </c>
      <c r="N136" s="8" t="s">
        <v>272</v>
      </c>
      <c r="O136" s="13">
        <f>vlookup(N136,Interview_Slots!$A$1:$D$5,3,false)</f>
        <v>70</v>
      </c>
      <c r="P136" s="13">
        <f>vlookup(N136,Interview_Slots!$A$1:$D$5,4,false)</f>
        <v>80</v>
      </c>
      <c r="Q136" s="13" t="str">
        <f t="shared" si="3"/>
        <v>Eligible</v>
      </c>
      <c r="R136" s="7" t="s">
        <v>22</v>
      </c>
    </row>
    <row r="137" ht="15.75" customHeight="1">
      <c r="A137" s="8" t="s">
        <v>303</v>
      </c>
      <c r="B137" s="8" t="s">
        <v>304</v>
      </c>
      <c r="C137" s="8" t="s">
        <v>72</v>
      </c>
      <c r="D137" s="9" t="str">
        <f>vlookup(C137,Dept_Lookup!A$1:B$17,2,false)</f>
        <v>Mechanical</v>
      </c>
      <c r="E137" s="14">
        <v>45900.0</v>
      </c>
      <c r="F137" s="10">
        <f t="shared" si="1"/>
        <v>45900</v>
      </c>
      <c r="G137" s="8">
        <v>89.0</v>
      </c>
      <c r="H137" s="8">
        <v>79.0</v>
      </c>
      <c r="I137" s="8">
        <v>91.0</v>
      </c>
      <c r="J137" s="11">
        <f>G137*Scoring_Weights!B$2+H137*Scoring_Weights!B$3+I137*Scoring_Weights!B$4</f>
        <v>86.5</v>
      </c>
      <c r="K137" s="12">
        <v>0.8</v>
      </c>
      <c r="L137" s="8">
        <v>0.99</v>
      </c>
      <c r="M137" s="12">
        <f t="shared" si="2"/>
        <v>0.99</v>
      </c>
      <c r="N137" s="8" t="s">
        <v>272</v>
      </c>
      <c r="O137" s="13">
        <f>vlookup(N137,Interview_Slots!$A$1:$D$5,3,false)</f>
        <v>70</v>
      </c>
      <c r="P137" s="13">
        <f>vlookup(N137,Interview_Slots!$A$1:$D$5,4,false)</f>
        <v>80</v>
      </c>
      <c r="Q137" s="13" t="str">
        <f t="shared" si="3"/>
        <v>Eligible</v>
      </c>
      <c r="R137" s="7" t="s">
        <v>22</v>
      </c>
    </row>
    <row r="138" ht="15.75" hidden="1" customHeight="1">
      <c r="A138" s="8" t="s">
        <v>305</v>
      </c>
      <c r="B138" s="8" t="s">
        <v>306</v>
      </c>
      <c r="C138" s="8" t="s">
        <v>47</v>
      </c>
      <c r="D138" s="9" t="str">
        <f>vlookup(C138,Dept_Lookup!A$1:B$17,2,false)</f>
        <v>Civil</v>
      </c>
      <c r="E138" s="9">
        <v>45882.0</v>
      </c>
      <c r="F138" s="10">
        <f t="shared" si="1"/>
        <v>45882</v>
      </c>
      <c r="G138" s="8">
        <v>87.0</v>
      </c>
      <c r="H138" s="8">
        <v>76.0</v>
      </c>
      <c r="I138" s="8">
        <v>93.0</v>
      </c>
      <c r="J138" s="11">
        <f>G138*Scoring_Weights!B$2+H138*Scoring_Weights!B$3+I138*Scoring_Weights!B$4</f>
        <v>86.15</v>
      </c>
      <c r="K138" s="12">
        <v>0.79</v>
      </c>
      <c r="L138" s="8">
        <v>0.76</v>
      </c>
      <c r="M138" s="12">
        <f t="shared" si="2"/>
        <v>0.76</v>
      </c>
      <c r="N138" s="8" t="s">
        <v>272</v>
      </c>
      <c r="O138" s="13">
        <f>vlookup(N138,Interview_Slots!$A$1:$D$5,3,false)</f>
        <v>70</v>
      </c>
      <c r="P138" s="13">
        <f>vlookup(N138,Interview_Slots!$A$1:$D$5,4,false)</f>
        <v>80</v>
      </c>
      <c r="Q138" s="13" t="str">
        <f t="shared" si="3"/>
        <v>Not Eligible</v>
      </c>
    </row>
    <row r="139" ht="15.75" hidden="1" customHeight="1">
      <c r="A139" s="8" t="s">
        <v>307</v>
      </c>
      <c r="B139" s="8" t="s">
        <v>308</v>
      </c>
      <c r="C139" s="8" t="s">
        <v>20</v>
      </c>
      <c r="D139" s="9" t="str">
        <f>vlookup(C139,Dept_Lookup!A$1:B$17,2,false)</f>
        <v>Electronics</v>
      </c>
      <c r="E139" s="14">
        <v>45880.0</v>
      </c>
      <c r="F139" s="10">
        <f t="shared" si="1"/>
        <v>45880</v>
      </c>
      <c r="G139" s="8">
        <v>90.0</v>
      </c>
      <c r="H139" s="8">
        <v>76.0</v>
      </c>
      <c r="I139" s="8">
        <v>92.0</v>
      </c>
      <c r="J139" s="11">
        <f>G139*Scoring_Weights!B$2+H139*Scoring_Weights!B$3+I139*Scoring_Weights!B$4</f>
        <v>86.1</v>
      </c>
      <c r="K139" s="12">
        <v>0.79</v>
      </c>
      <c r="L139" s="12">
        <v>0.99</v>
      </c>
      <c r="M139" s="12">
        <f t="shared" si="2"/>
        <v>0.99</v>
      </c>
      <c r="N139" s="8" t="s">
        <v>272</v>
      </c>
      <c r="O139" s="13">
        <f>vlookup(N139,Interview_Slots!$A$1:$D$5,3,false)</f>
        <v>70</v>
      </c>
      <c r="P139" s="13">
        <f>vlookup(N139,Interview_Slots!$A$1:$D$5,4,false)</f>
        <v>80</v>
      </c>
      <c r="Q139" s="13" t="str">
        <f t="shared" si="3"/>
        <v>Not Eligible</v>
      </c>
    </row>
    <row r="140" ht="15.75" customHeight="1">
      <c r="A140" s="8" t="s">
        <v>309</v>
      </c>
      <c r="B140" s="8" t="s">
        <v>310</v>
      </c>
      <c r="C140" s="8" t="s">
        <v>57</v>
      </c>
      <c r="D140" s="9" t="str">
        <f>vlookup(C140,Dept_Lookup!A$1:B$17,2,false)</f>
        <v>Computer Science</v>
      </c>
      <c r="E140" s="14">
        <v>45865.0</v>
      </c>
      <c r="F140" s="10">
        <f t="shared" si="1"/>
        <v>45865</v>
      </c>
      <c r="G140" s="8">
        <v>94.0</v>
      </c>
      <c r="H140" s="8">
        <v>67.0</v>
      </c>
      <c r="I140" s="8">
        <v>97.0</v>
      </c>
      <c r="J140" s="11">
        <f>G140*Scoring_Weights!B$2+H140*Scoring_Weights!B$3+I140*Scoring_Weights!B$4</f>
        <v>86.05</v>
      </c>
      <c r="K140" s="12">
        <v>0.88</v>
      </c>
      <c r="L140" s="8">
        <v>0.76</v>
      </c>
      <c r="M140" s="12">
        <f t="shared" si="2"/>
        <v>0.76</v>
      </c>
      <c r="N140" s="8" t="s">
        <v>272</v>
      </c>
      <c r="O140" s="13">
        <f>vlookup(N140,Interview_Slots!$A$1:$D$5,3,false)</f>
        <v>70</v>
      </c>
      <c r="P140" s="13">
        <f>vlookup(N140,Interview_Slots!$A$1:$D$5,4,false)</f>
        <v>80</v>
      </c>
      <c r="Q140" s="13" t="str">
        <f t="shared" si="3"/>
        <v>Eligible</v>
      </c>
      <c r="R140" s="7" t="s">
        <v>22</v>
      </c>
    </row>
    <row r="141" ht="15.75" customHeight="1">
      <c r="A141" s="8" t="s">
        <v>311</v>
      </c>
      <c r="B141" s="8" t="s">
        <v>118</v>
      </c>
      <c r="C141" s="8" t="s">
        <v>108</v>
      </c>
      <c r="D141" s="9" t="str">
        <f>vlookup(C141,Dept_Lookup!A$1:B$17,2,false)</f>
        <v>Civil</v>
      </c>
      <c r="E141" s="14">
        <v>45870.0</v>
      </c>
      <c r="F141" s="10">
        <f t="shared" si="1"/>
        <v>45870</v>
      </c>
      <c r="G141" s="8">
        <v>86.0</v>
      </c>
      <c r="H141" s="8">
        <v>77.0</v>
      </c>
      <c r="I141" s="8">
        <v>92.0</v>
      </c>
      <c r="J141" s="11">
        <f>G141*Scoring_Weights!B$2+H141*Scoring_Weights!B$3+I141*Scoring_Weights!B$4</f>
        <v>85.85</v>
      </c>
      <c r="K141" s="12">
        <v>0.82</v>
      </c>
      <c r="L141" s="12">
        <v>0.93</v>
      </c>
      <c r="M141" s="12">
        <f t="shared" si="2"/>
        <v>0.93</v>
      </c>
      <c r="N141" s="8" t="s">
        <v>272</v>
      </c>
      <c r="O141" s="13">
        <f>vlookup(N141,Interview_Slots!$A$1:$D$5,3,false)</f>
        <v>70</v>
      </c>
      <c r="P141" s="13">
        <f>vlookup(N141,Interview_Slots!$A$1:$D$5,4,false)</f>
        <v>80</v>
      </c>
      <c r="Q141" s="13" t="str">
        <f t="shared" si="3"/>
        <v>Eligible</v>
      </c>
      <c r="R141" s="7" t="s">
        <v>22</v>
      </c>
    </row>
    <row r="142" ht="15.75" hidden="1" customHeight="1">
      <c r="A142" s="8" t="s">
        <v>312</v>
      </c>
      <c r="B142" s="8" t="s">
        <v>313</v>
      </c>
      <c r="C142" s="8" t="s">
        <v>105</v>
      </c>
      <c r="D142" s="9" t="str">
        <f>vlookup(C142,Dept_Lookup!A$1:B$17,2,false)</f>
        <v>Civil</v>
      </c>
      <c r="E142" s="14">
        <v>45877.0</v>
      </c>
      <c r="F142" s="10">
        <f t="shared" si="1"/>
        <v>45877</v>
      </c>
      <c r="G142" s="8">
        <v>66.0</v>
      </c>
      <c r="H142" s="8">
        <v>82.0</v>
      </c>
      <c r="I142" s="8">
        <v>93.0</v>
      </c>
      <c r="J142" s="11">
        <f>G142*Scoring_Weights!B$2+H142*Scoring_Weights!B$3+I142*Scoring_Weights!B$4</f>
        <v>85.1</v>
      </c>
      <c r="K142" s="12">
        <v>0.76</v>
      </c>
      <c r="L142" s="12">
        <v>0.81</v>
      </c>
      <c r="M142" s="12">
        <f t="shared" si="2"/>
        <v>0.81</v>
      </c>
      <c r="N142" s="8" t="s">
        <v>272</v>
      </c>
      <c r="O142" s="13">
        <f>vlookup(N142,Interview_Slots!$A$1:$D$5,3,false)</f>
        <v>70</v>
      </c>
      <c r="P142" s="13">
        <f>vlookup(N142,Interview_Slots!$A$1:$D$5,4,false)</f>
        <v>80</v>
      </c>
      <c r="Q142" s="13" t="str">
        <f t="shared" si="3"/>
        <v>Not Eligible</v>
      </c>
    </row>
    <row r="143" ht="15.75" hidden="1" customHeight="1">
      <c r="A143" s="8" t="s">
        <v>314</v>
      </c>
      <c r="B143" s="8" t="s">
        <v>315</v>
      </c>
      <c r="C143" s="8" t="s">
        <v>105</v>
      </c>
      <c r="D143" s="9" t="str">
        <f>vlookup(C143,Dept_Lookup!A$1:B$17,2,false)</f>
        <v>Civil</v>
      </c>
      <c r="E143" s="9">
        <v>45878.0</v>
      </c>
      <c r="F143" s="10">
        <f t="shared" si="1"/>
        <v>45878</v>
      </c>
      <c r="G143" s="8">
        <v>88.0</v>
      </c>
      <c r="H143" s="8">
        <v>70.0</v>
      </c>
      <c r="I143" s="8">
        <v>94.0</v>
      </c>
      <c r="J143" s="11">
        <f>G143*Scoring_Weights!B$2+H143*Scoring_Weights!B$3+I143*Scoring_Weights!B$4</f>
        <v>84.7</v>
      </c>
      <c r="K143" s="12">
        <v>0.79</v>
      </c>
      <c r="L143" s="8">
        <v>0.78</v>
      </c>
      <c r="M143" s="12">
        <f t="shared" si="2"/>
        <v>0.78</v>
      </c>
      <c r="N143" s="8" t="s">
        <v>272</v>
      </c>
      <c r="O143" s="13">
        <f>vlookup(N143,Interview_Slots!$A$1:$D$5,3,false)</f>
        <v>70</v>
      </c>
      <c r="P143" s="13">
        <f>vlookup(N143,Interview_Slots!$A$1:$D$5,4,false)</f>
        <v>80</v>
      </c>
      <c r="Q143" s="13" t="str">
        <f t="shared" si="3"/>
        <v>Not Eligible</v>
      </c>
    </row>
    <row r="144" ht="15.75" hidden="1" customHeight="1">
      <c r="A144" s="8" t="s">
        <v>316</v>
      </c>
      <c r="B144" s="8" t="s">
        <v>317</v>
      </c>
      <c r="C144" s="8" t="s">
        <v>38</v>
      </c>
      <c r="D144" s="9" t="str">
        <f>vlookup(C144,Dept_Lookup!A$1:B$17,2,false)</f>
        <v>Mechanical</v>
      </c>
      <c r="E144" s="14">
        <v>45903.0</v>
      </c>
      <c r="F144" s="10">
        <f t="shared" si="1"/>
        <v>45903</v>
      </c>
      <c r="G144" s="8">
        <v>82.0</v>
      </c>
      <c r="H144" s="8">
        <v>99.0</v>
      </c>
      <c r="I144" s="8">
        <v>75.0</v>
      </c>
      <c r="J144" s="11">
        <f>G144*Scoring_Weights!B$2+H144*Scoring_Weights!B$3+I144*Scoring_Weights!B$4</f>
        <v>84.45</v>
      </c>
      <c r="K144" s="12">
        <v>0.79</v>
      </c>
      <c r="L144" s="8">
        <v>0.89</v>
      </c>
      <c r="M144" s="12">
        <f t="shared" si="2"/>
        <v>0.89</v>
      </c>
      <c r="N144" s="8" t="s">
        <v>272</v>
      </c>
      <c r="O144" s="13">
        <f>vlookup(N144,Interview_Slots!$A$1:$D$5,3,false)</f>
        <v>70</v>
      </c>
      <c r="P144" s="13">
        <f>vlookup(N144,Interview_Slots!$A$1:$D$5,4,false)</f>
        <v>80</v>
      </c>
      <c r="Q144" s="13" t="str">
        <f t="shared" si="3"/>
        <v>Not Eligible</v>
      </c>
    </row>
    <row r="145" ht="15.75" customHeight="1">
      <c r="A145" s="8" t="s">
        <v>318</v>
      </c>
      <c r="B145" s="8" t="s">
        <v>319</v>
      </c>
      <c r="C145" s="8" t="s">
        <v>161</v>
      </c>
      <c r="D145" s="9" t="str">
        <f>vlookup(C145,Dept_Lookup!A$1:B$17,2,false)</f>
        <v>Mechanical</v>
      </c>
      <c r="E145" s="14">
        <v>45865.0</v>
      </c>
      <c r="F145" s="10">
        <f t="shared" si="1"/>
        <v>45865</v>
      </c>
      <c r="G145" s="8">
        <v>93.0</v>
      </c>
      <c r="H145" s="8">
        <v>76.0</v>
      </c>
      <c r="I145" s="8">
        <v>87.0</v>
      </c>
      <c r="J145" s="11">
        <f>G145*Scoring_Weights!B$2+H145*Scoring_Weights!B$3+I145*Scoring_Weights!B$4</f>
        <v>84.05</v>
      </c>
      <c r="K145" s="12">
        <v>0.82</v>
      </c>
      <c r="L145" s="8">
        <v>0.94</v>
      </c>
      <c r="M145" s="12">
        <f t="shared" si="2"/>
        <v>0.94</v>
      </c>
      <c r="N145" s="8" t="s">
        <v>272</v>
      </c>
      <c r="O145" s="13">
        <f>vlookup(N145,Interview_Slots!$A$1:$D$5,3,false)</f>
        <v>70</v>
      </c>
      <c r="P145" s="13">
        <f>vlookup(N145,Interview_Slots!$A$1:$D$5,4,false)</f>
        <v>80</v>
      </c>
      <c r="Q145" s="13" t="str">
        <f t="shared" si="3"/>
        <v>Eligible</v>
      </c>
      <c r="R145" s="7" t="s">
        <v>22</v>
      </c>
    </row>
    <row r="146" ht="15.75" customHeight="1">
      <c r="A146" s="8" t="s">
        <v>320</v>
      </c>
      <c r="B146" s="8" t="s">
        <v>61</v>
      </c>
      <c r="C146" s="8" t="s">
        <v>35</v>
      </c>
      <c r="D146" s="9" t="str">
        <f>vlookup(C146,Dept_Lookup!A$1:B$17,2,false)</f>
        <v>Electronics</v>
      </c>
      <c r="E146" s="14">
        <v>45900.0</v>
      </c>
      <c r="F146" s="10">
        <f t="shared" si="1"/>
        <v>45900</v>
      </c>
      <c r="G146" s="8">
        <v>85.0</v>
      </c>
      <c r="H146" s="8">
        <v>63.0</v>
      </c>
      <c r="I146" s="8">
        <v>98.0</v>
      </c>
      <c r="J146" s="11">
        <f>G146*Scoring_Weights!B$2+H146*Scoring_Weights!B$3+I146*Scoring_Weights!B$4</f>
        <v>83.8</v>
      </c>
      <c r="K146" s="12">
        <v>0.81</v>
      </c>
      <c r="L146" s="8">
        <v>0.89</v>
      </c>
      <c r="M146" s="12">
        <f t="shared" si="2"/>
        <v>0.89</v>
      </c>
      <c r="N146" s="8" t="s">
        <v>272</v>
      </c>
      <c r="O146" s="13">
        <f>vlookup(N146,Interview_Slots!$A$1:$D$5,3,false)</f>
        <v>70</v>
      </c>
      <c r="P146" s="13">
        <f>vlookup(N146,Interview_Slots!$A$1:$D$5,4,false)</f>
        <v>80</v>
      </c>
      <c r="Q146" s="13" t="str">
        <f t="shared" si="3"/>
        <v>Eligible</v>
      </c>
      <c r="R146" s="7" t="s">
        <v>22</v>
      </c>
    </row>
    <row r="147" ht="15.75" customHeight="1">
      <c r="A147" s="8" t="s">
        <v>321</v>
      </c>
      <c r="B147" s="8" t="s">
        <v>322</v>
      </c>
      <c r="C147" s="8" t="s">
        <v>72</v>
      </c>
      <c r="D147" s="9" t="str">
        <f>vlookup(C147,Dept_Lookup!A$1:B$17,2,false)</f>
        <v>Mechanical</v>
      </c>
      <c r="E147" s="9">
        <v>45887.0</v>
      </c>
      <c r="F147" s="10">
        <f t="shared" si="1"/>
        <v>45887</v>
      </c>
      <c r="G147" s="8">
        <v>86.0</v>
      </c>
      <c r="H147" s="8">
        <v>80.0</v>
      </c>
      <c r="I147" s="8">
        <v>85.0</v>
      </c>
      <c r="J147" s="11">
        <f>G147*Scoring_Weights!B$2+H147*Scoring_Weights!B$3+I147*Scoring_Weights!B$4</f>
        <v>83.4</v>
      </c>
      <c r="K147" s="12">
        <v>0.81</v>
      </c>
      <c r="L147" s="8">
        <v>0.77</v>
      </c>
      <c r="M147" s="12">
        <f t="shared" si="2"/>
        <v>0.77</v>
      </c>
      <c r="N147" s="8" t="s">
        <v>272</v>
      </c>
      <c r="O147" s="13">
        <f>vlookup(N147,Interview_Slots!$A$1:$D$5,3,false)</f>
        <v>70</v>
      </c>
      <c r="P147" s="13">
        <f>vlookup(N147,Interview_Slots!$A$1:$D$5,4,false)</f>
        <v>80</v>
      </c>
      <c r="Q147" s="13" t="str">
        <f t="shared" si="3"/>
        <v>Eligible</v>
      </c>
      <c r="R147" s="7" t="s">
        <v>22</v>
      </c>
    </row>
    <row r="148" ht="15.75" hidden="1" customHeight="1">
      <c r="A148" s="8" t="s">
        <v>323</v>
      </c>
      <c r="B148" s="8" t="s">
        <v>324</v>
      </c>
      <c r="C148" s="8" t="s">
        <v>25</v>
      </c>
      <c r="D148" s="9" t="str">
        <f>vlookup(C148,Dept_Lookup!A$1:B$17,2,false)</f>
        <v>Computer Science</v>
      </c>
      <c r="E148" s="14">
        <v>45865.0</v>
      </c>
      <c r="F148" s="10">
        <f t="shared" si="1"/>
        <v>45865</v>
      </c>
      <c r="G148" s="8">
        <v>94.0</v>
      </c>
      <c r="H148" s="8">
        <v>83.0</v>
      </c>
      <c r="I148" s="8">
        <v>80.0</v>
      </c>
      <c r="J148" s="11">
        <f>G148*Scoring_Weights!B$2+H148*Scoring_Weights!B$3+I148*Scoring_Weights!B$4</f>
        <v>83.15</v>
      </c>
      <c r="K148" s="12">
        <v>0.78</v>
      </c>
      <c r="L148" s="8">
        <v>0.89</v>
      </c>
      <c r="M148" s="12">
        <f t="shared" si="2"/>
        <v>0.89</v>
      </c>
      <c r="N148" s="8" t="s">
        <v>272</v>
      </c>
      <c r="O148" s="13">
        <f>vlookup(N148,Interview_Slots!$A$1:$D$5,3,false)</f>
        <v>70</v>
      </c>
      <c r="P148" s="13">
        <f>vlookup(N148,Interview_Slots!$A$1:$D$5,4,false)</f>
        <v>80</v>
      </c>
      <c r="Q148" s="13" t="str">
        <f t="shared" si="3"/>
        <v>Not Eligible</v>
      </c>
    </row>
    <row r="149" ht="15.75" hidden="1" customHeight="1">
      <c r="A149" s="8" t="s">
        <v>325</v>
      </c>
      <c r="B149" s="8" t="s">
        <v>326</v>
      </c>
      <c r="C149" s="8" t="s">
        <v>105</v>
      </c>
      <c r="D149" s="9" t="str">
        <f>vlookup(C149,Dept_Lookup!A$1:B$17,2,false)</f>
        <v>Civil</v>
      </c>
      <c r="E149" s="14">
        <v>45842.0</v>
      </c>
      <c r="F149" s="10">
        <f t="shared" si="1"/>
        <v>45842</v>
      </c>
      <c r="G149" s="8">
        <v>60.0</v>
      </c>
      <c r="H149" s="8">
        <v>87.0</v>
      </c>
      <c r="I149" s="8">
        <v>87.0</v>
      </c>
      <c r="J149" s="11">
        <f>G149*Scoring_Weights!B$2+H149*Scoring_Weights!B$3+I149*Scoring_Weights!B$4</f>
        <v>82.95</v>
      </c>
      <c r="K149" s="12">
        <v>0.66</v>
      </c>
      <c r="L149" s="8">
        <v>69.0</v>
      </c>
      <c r="M149" s="12">
        <f t="shared" si="2"/>
        <v>0.69</v>
      </c>
      <c r="N149" s="8" t="s">
        <v>272</v>
      </c>
      <c r="O149" s="13">
        <f>vlookup(N149,Interview_Slots!$A$1:$D$5,3,false)</f>
        <v>70</v>
      </c>
      <c r="P149" s="13">
        <f>vlookup(N149,Interview_Slots!$A$1:$D$5,4,false)</f>
        <v>80</v>
      </c>
      <c r="Q149" s="13" t="str">
        <f t="shared" si="3"/>
        <v>Not Eligible</v>
      </c>
    </row>
    <row r="150" ht="15.75" hidden="1" customHeight="1">
      <c r="A150" s="8" t="s">
        <v>327</v>
      </c>
      <c r="B150" s="8" t="s">
        <v>328</v>
      </c>
      <c r="C150" s="8" t="s">
        <v>47</v>
      </c>
      <c r="D150" s="9" t="str">
        <f>vlookup(C150,Dept_Lookup!A$1:B$17,2,false)</f>
        <v>Civil</v>
      </c>
      <c r="E150" s="14">
        <v>45913.0</v>
      </c>
      <c r="F150" s="10">
        <f t="shared" si="1"/>
        <v>45913</v>
      </c>
      <c r="G150" s="8">
        <v>67.0</v>
      </c>
      <c r="H150" s="8">
        <v>69.0</v>
      </c>
      <c r="I150" s="8">
        <v>97.0</v>
      </c>
      <c r="J150" s="11">
        <f>G150*Scoring_Weights!B$2+H150*Scoring_Weights!B$3+I150*Scoring_Weights!B$4</f>
        <v>82.7</v>
      </c>
      <c r="K150" s="12">
        <v>0.78</v>
      </c>
      <c r="L150" s="12">
        <v>0.73</v>
      </c>
      <c r="M150" s="12">
        <f t="shared" si="2"/>
        <v>0.73</v>
      </c>
      <c r="N150" s="8" t="s">
        <v>272</v>
      </c>
      <c r="O150" s="13">
        <f>vlookup(N150,Interview_Slots!$A$1:$D$5,3,false)</f>
        <v>70</v>
      </c>
      <c r="P150" s="13">
        <f>vlookup(N150,Interview_Slots!$A$1:$D$5,4,false)</f>
        <v>80</v>
      </c>
      <c r="Q150" s="13" t="str">
        <f t="shared" si="3"/>
        <v>Not Eligible</v>
      </c>
    </row>
    <row r="151" ht="15.75" hidden="1" customHeight="1">
      <c r="A151" s="8" t="s">
        <v>329</v>
      </c>
      <c r="B151" s="8" t="s">
        <v>330</v>
      </c>
      <c r="C151" s="8" t="s">
        <v>57</v>
      </c>
      <c r="D151" s="9" t="str">
        <f>vlookup(C151,Dept_Lookup!A$1:B$17,2,false)</f>
        <v>Computer Science</v>
      </c>
      <c r="E151" s="9">
        <v>45860.0</v>
      </c>
      <c r="F151" s="10">
        <f t="shared" si="1"/>
        <v>45860</v>
      </c>
      <c r="G151" s="8">
        <v>72.0</v>
      </c>
      <c r="H151" s="8">
        <v>78.0</v>
      </c>
      <c r="I151" s="8">
        <v>89.0</v>
      </c>
      <c r="J151" s="11">
        <f>G151*Scoring_Weights!B$2+H151*Scoring_Weights!B$3+I151*Scoring_Weights!B$4</f>
        <v>82.6</v>
      </c>
      <c r="K151" s="12">
        <v>0.76</v>
      </c>
      <c r="L151" s="12">
        <v>0.84</v>
      </c>
      <c r="M151" s="12">
        <f t="shared" si="2"/>
        <v>0.84</v>
      </c>
      <c r="N151" s="8" t="s">
        <v>272</v>
      </c>
      <c r="O151" s="13">
        <f>vlookup(N151,Interview_Slots!$A$1:$D$5,3,false)</f>
        <v>70</v>
      </c>
      <c r="P151" s="13">
        <f>vlookup(N151,Interview_Slots!$A$1:$D$5,4,false)</f>
        <v>80</v>
      </c>
      <c r="Q151" s="13" t="str">
        <f t="shared" si="3"/>
        <v>Not Eligible</v>
      </c>
    </row>
    <row r="152" ht="15.75" hidden="1" customHeight="1">
      <c r="A152" s="8" t="s">
        <v>331</v>
      </c>
      <c r="B152" s="8" t="s">
        <v>332</v>
      </c>
      <c r="C152" s="8" t="s">
        <v>35</v>
      </c>
      <c r="D152" s="9" t="str">
        <f>vlookup(C152,Dept_Lookup!A$1:B$17,2,false)</f>
        <v>Electronics</v>
      </c>
      <c r="E152" s="9">
        <v>45893.0</v>
      </c>
      <c r="F152" s="10">
        <f t="shared" si="1"/>
        <v>45893</v>
      </c>
      <c r="G152" s="8">
        <v>60.0</v>
      </c>
      <c r="H152" s="8">
        <v>71.0</v>
      </c>
      <c r="I152" s="8">
        <v>97.0</v>
      </c>
      <c r="J152" s="11">
        <f>G152*Scoring_Weights!B$2+H152*Scoring_Weights!B$3+I152*Scoring_Weights!B$4</f>
        <v>82.35</v>
      </c>
      <c r="K152" s="12">
        <v>0.75</v>
      </c>
      <c r="L152" s="8">
        <v>0.84</v>
      </c>
      <c r="M152" s="12">
        <f t="shared" si="2"/>
        <v>0.84</v>
      </c>
      <c r="N152" s="8" t="s">
        <v>272</v>
      </c>
      <c r="O152" s="13">
        <f>vlookup(N152,Interview_Slots!$A$1:$D$5,3,false)</f>
        <v>70</v>
      </c>
      <c r="P152" s="13">
        <f>vlookup(N152,Interview_Slots!$A$1:$D$5,4,false)</f>
        <v>80</v>
      </c>
      <c r="Q152" s="13" t="str">
        <f t="shared" si="3"/>
        <v>Not Eligible</v>
      </c>
    </row>
    <row r="153" ht="15.75" customHeight="1">
      <c r="A153" s="8" t="s">
        <v>333</v>
      </c>
      <c r="B153" s="8" t="s">
        <v>334</v>
      </c>
      <c r="C153" s="8" t="s">
        <v>35</v>
      </c>
      <c r="D153" s="9" t="str">
        <f>vlookup(C153,Dept_Lookup!A$1:B$17,2,false)</f>
        <v>Electronics</v>
      </c>
      <c r="E153" s="9">
        <v>45870.0</v>
      </c>
      <c r="F153" s="10">
        <f t="shared" si="1"/>
        <v>45870</v>
      </c>
      <c r="G153" s="8">
        <v>79.0</v>
      </c>
      <c r="H153" s="8">
        <v>74.0</v>
      </c>
      <c r="I153" s="8">
        <v>89.0</v>
      </c>
      <c r="J153" s="11">
        <f>G153*Scoring_Weights!B$2+H153*Scoring_Weights!B$3+I153*Scoring_Weights!B$4</f>
        <v>82.25</v>
      </c>
      <c r="K153" s="12">
        <v>0.95</v>
      </c>
      <c r="L153" s="8">
        <v>0.89</v>
      </c>
      <c r="M153" s="12">
        <f t="shared" si="2"/>
        <v>0.89</v>
      </c>
      <c r="N153" s="8" t="s">
        <v>272</v>
      </c>
      <c r="O153" s="13">
        <f>vlookup(N153,Interview_Slots!$A$1:$D$5,3,false)</f>
        <v>70</v>
      </c>
      <c r="P153" s="13">
        <f>vlookup(N153,Interview_Slots!$A$1:$D$5,4,false)</f>
        <v>80</v>
      </c>
      <c r="Q153" s="13" t="str">
        <f t="shared" si="3"/>
        <v>Eligible</v>
      </c>
      <c r="R153" s="7" t="s">
        <v>22</v>
      </c>
    </row>
    <row r="154" ht="15.75" customHeight="1">
      <c r="A154" s="8" t="s">
        <v>335</v>
      </c>
      <c r="B154" s="8" t="s">
        <v>198</v>
      </c>
      <c r="C154" s="8" t="s">
        <v>38</v>
      </c>
      <c r="D154" s="9" t="str">
        <f>vlookup(C154,Dept_Lookup!A$1:B$17,2,false)</f>
        <v>Mechanical</v>
      </c>
      <c r="E154" s="14">
        <v>45868.0</v>
      </c>
      <c r="F154" s="10">
        <f t="shared" si="1"/>
        <v>45868</v>
      </c>
      <c r="G154" s="8">
        <v>83.0</v>
      </c>
      <c r="H154" s="8">
        <v>88.0</v>
      </c>
      <c r="I154" s="8">
        <v>78.0</v>
      </c>
      <c r="J154" s="11">
        <f>G154*Scoring_Weights!B$2+H154*Scoring_Weights!B$3+I154*Scoring_Weights!B$4</f>
        <v>82.25</v>
      </c>
      <c r="K154" s="12">
        <v>0.92</v>
      </c>
      <c r="L154" s="8">
        <v>69.0</v>
      </c>
      <c r="M154" s="12">
        <f t="shared" si="2"/>
        <v>0.69</v>
      </c>
      <c r="N154" s="8" t="s">
        <v>272</v>
      </c>
      <c r="O154" s="13">
        <f>vlookup(N154,Interview_Slots!$A$1:$D$5,3,false)</f>
        <v>70</v>
      </c>
      <c r="P154" s="13">
        <f>vlookup(N154,Interview_Slots!$A$1:$D$5,4,false)</f>
        <v>80</v>
      </c>
      <c r="Q154" s="13" t="str">
        <f t="shared" si="3"/>
        <v>Eligible</v>
      </c>
      <c r="R154" s="7" t="s">
        <v>22</v>
      </c>
    </row>
    <row r="155" ht="15.75" customHeight="1">
      <c r="A155" s="8" t="s">
        <v>336</v>
      </c>
      <c r="B155" s="8" t="s">
        <v>337</v>
      </c>
      <c r="C155" s="8" t="s">
        <v>25</v>
      </c>
      <c r="D155" s="9" t="str">
        <f>vlookup(C155,Dept_Lookup!A$1:B$17,2,false)</f>
        <v>Computer Science</v>
      </c>
      <c r="E155" s="9">
        <v>45870.0</v>
      </c>
      <c r="F155" s="10">
        <f t="shared" si="1"/>
        <v>45870</v>
      </c>
      <c r="G155" s="8">
        <v>82.0</v>
      </c>
      <c r="H155" s="8">
        <v>72.0</v>
      </c>
      <c r="I155" s="8">
        <v>89.0</v>
      </c>
      <c r="J155" s="11">
        <f>G155*Scoring_Weights!B$2+H155*Scoring_Weights!B$3+I155*Scoring_Weights!B$4</f>
        <v>82</v>
      </c>
      <c r="K155" s="12">
        <v>0.87</v>
      </c>
      <c r="L155" s="8">
        <v>0.8</v>
      </c>
      <c r="M155" s="12">
        <f t="shared" si="2"/>
        <v>0.8</v>
      </c>
      <c r="N155" s="8" t="s">
        <v>272</v>
      </c>
      <c r="O155" s="13">
        <f>vlookup(N155,Interview_Slots!$A$1:$D$5,3,false)</f>
        <v>70</v>
      </c>
      <c r="P155" s="13">
        <f>vlookup(N155,Interview_Slots!$A$1:$D$5,4,false)</f>
        <v>80</v>
      </c>
      <c r="Q155" s="13" t="str">
        <f t="shared" si="3"/>
        <v>Eligible</v>
      </c>
      <c r="R155" s="7" t="s">
        <v>22</v>
      </c>
    </row>
    <row r="156" ht="15.75" customHeight="1">
      <c r="A156" s="8" t="s">
        <v>338</v>
      </c>
      <c r="B156" s="8" t="s">
        <v>178</v>
      </c>
      <c r="C156" s="8" t="s">
        <v>105</v>
      </c>
      <c r="D156" s="9" t="str">
        <f>vlookup(C156,Dept_Lookup!A$1:B$17,2,false)</f>
        <v>Civil</v>
      </c>
      <c r="E156" s="14">
        <v>45901.0</v>
      </c>
      <c r="F156" s="10">
        <f t="shared" si="1"/>
        <v>45901</v>
      </c>
      <c r="G156" s="8">
        <v>86.0</v>
      </c>
      <c r="H156" s="8">
        <v>87.0</v>
      </c>
      <c r="I156" s="8">
        <v>77.0</v>
      </c>
      <c r="J156" s="11">
        <f>G156*Scoring_Weights!B$2+H156*Scoring_Weights!B$3+I156*Scoring_Weights!B$4</f>
        <v>81.85</v>
      </c>
      <c r="K156" s="12">
        <v>0.94</v>
      </c>
      <c r="L156" s="8">
        <v>0.85</v>
      </c>
      <c r="M156" s="12">
        <f t="shared" si="2"/>
        <v>0.85</v>
      </c>
      <c r="N156" s="8" t="s">
        <v>272</v>
      </c>
      <c r="O156" s="13">
        <f>vlookup(N156,Interview_Slots!$A$1:$D$5,3,false)</f>
        <v>70</v>
      </c>
      <c r="P156" s="13">
        <f>vlookup(N156,Interview_Slots!$A$1:$D$5,4,false)</f>
        <v>80</v>
      </c>
      <c r="Q156" s="13" t="str">
        <f t="shared" si="3"/>
        <v>Eligible</v>
      </c>
      <c r="R156" s="7" t="s">
        <v>22</v>
      </c>
    </row>
    <row r="157" ht="15.75" customHeight="1">
      <c r="A157" s="8" t="s">
        <v>339</v>
      </c>
      <c r="B157" s="8" t="s">
        <v>340</v>
      </c>
      <c r="C157" s="8" t="s">
        <v>105</v>
      </c>
      <c r="D157" s="9" t="str">
        <f>vlookup(C157,Dept_Lookup!A$1:B$17,2,false)</f>
        <v>Civil</v>
      </c>
      <c r="E157" s="14">
        <v>45865.0</v>
      </c>
      <c r="F157" s="10">
        <f t="shared" si="1"/>
        <v>45865</v>
      </c>
      <c r="G157" s="8">
        <v>94.0</v>
      </c>
      <c r="H157" s="8">
        <v>74.0</v>
      </c>
      <c r="I157" s="8">
        <v>83.0</v>
      </c>
      <c r="J157" s="11">
        <f>G157*Scoring_Weights!B$2+H157*Scoring_Weights!B$3+I157*Scoring_Weights!B$4</f>
        <v>81.5</v>
      </c>
      <c r="K157" s="12">
        <v>0.8</v>
      </c>
      <c r="L157" s="8">
        <v>1.0</v>
      </c>
      <c r="M157" s="12">
        <f t="shared" si="2"/>
        <v>1</v>
      </c>
      <c r="N157" s="8" t="s">
        <v>272</v>
      </c>
      <c r="O157" s="13">
        <f>vlookup(N157,Interview_Slots!$A$1:$D$5,3,false)</f>
        <v>70</v>
      </c>
      <c r="P157" s="13">
        <f>vlookup(N157,Interview_Slots!$A$1:$D$5,4,false)</f>
        <v>80</v>
      </c>
      <c r="Q157" s="13" t="str">
        <f t="shared" si="3"/>
        <v>Eligible</v>
      </c>
      <c r="R157" s="7" t="s">
        <v>22</v>
      </c>
    </row>
    <row r="158" ht="15.75" hidden="1" customHeight="1">
      <c r="A158" s="8" t="s">
        <v>341</v>
      </c>
      <c r="B158" s="8" t="s">
        <v>342</v>
      </c>
      <c r="C158" s="8" t="s">
        <v>83</v>
      </c>
      <c r="D158" s="9" t="str">
        <f>vlookup(C158,Dept_Lookup!A$1:B$17,2,false)</f>
        <v>Civil</v>
      </c>
      <c r="E158" s="14">
        <v>45900.0</v>
      </c>
      <c r="F158" s="10">
        <f t="shared" si="1"/>
        <v>45900</v>
      </c>
      <c r="G158" s="8">
        <v>55.0</v>
      </c>
      <c r="H158" s="8">
        <v>79.0</v>
      </c>
      <c r="I158" s="8">
        <v>91.0</v>
      </c>
      <c r="J158" s="11">
        <f>G158*Scoring_Weights!B$2+H158*Scoring_Weights!B$3+I158*Scoring_Weights!B$4</f>
        <v>81.4</v>
      </c>
      <c r="K158" s="12">
        <v>0.75</v>
      </c>
      <c r="L158" s="8">
        <v>0.82</v>
      </c>
      <c r="M158" s="12">
        <f t="shared" si="2"/>
        <v>0.82</v>
      </c>
      <c r="N158" s="8" t="s">
        <v>272</v>
      </c>
      <c r="O158" s="13">
        <f>vlookup(N158,Interview_Slots!$A$1:$D$5,3,false)</f>
        <v>70</v>
      </c>
      <c r="P158" s="13">
        <f>vlookup(N158,Interview_Slots!$A$1:$D$5,4,false)</f>
        <v>80</v>
      </c>
      <c r="Q158" s="13" t="str">
        <f t="shared" si="3"/>
        <v>Not Eligible</v>
      </c>
    </row>
    <row r="159" ht="15.75" customHeight="1">
      <c r="A159" s="8" t="s">
        <v>343</v>
      </c>
      <c r="B159" s="8" t="s">
        <v>344</v>
      </c>
      <c r="C159" s="8" t="s">
        <v>44</v>
      </c>
      <c r="D159" s="9" t="str">
        <f>vlookup(C159,Dept_Lookup!A$1:B$17,2,false)</f>
        <v>Computer Science</v>
      </c>
      <c r="E159" s="8" t="s">
        <v>92</v>
      </c>
      <c r="F159" s="10">
        <f t="shared" si="1"/>
        <v>45898</v>
      </c>
      <c r="G159" s="8">
        <v>63.0</v>
      </c>
      <c r="H159" s="8">
        <v>81.0</v>
      </c>
      <c r="I159" s="8">
        <v>87.0</v>
      </c>
      <c r="J159" s="11">
        <f>G159*Scoring_Weights!B$2+H159*Scoring_Weights!B$3+I159*Scoring_Weights!B$4</f>
        <v>81.3</v>
      </c>
      <c r="K159" s="12">
        <v>0.9</v>
      </c>
      <c r="L159" s="8">
        <v>0.83</v>
      </c>
      <c r="M159" s="12">
        <f t="shared" si="2"/>
        <v>0.83</v>
      </c>
      <c r="N159" s="8" t="s">
        <v>272</v>
      </c>
      <c r="O159" s="13">
        <f>vlookup(N159,Interview_Slots!$A$1:$D$5,3,false)</f>
        <v>70</v>
      </c>
      <c r="P159" s="13">
        <f>vlookup(N159,Interview_Slots!$A$1:$D$5,4,false)</f>
        <v>80</v>
      </c>
      <c r="Q159" s="13" t="str">
        <f t="shared" si="3"/>
        <v>Eligible</v>
      </c>
      <c r="R159" s="7" t="s">
        <v>22</v>
      </c>
    </row>
    <row r="160" ht="15.75" customHeight="1">
      <c r="A160" s="8" t="s">
        <v>345</v>
      </c>
      <c r="B160" s="8" t="s">
        <v>346</v>
      </c>
      <c r="C160" s="8" t="s">
        <v>102</v>
      </c>
      <c r="D160" s="9" t="str">
        <f>vlookup(C160,Dept_Lookup!A$1:B$17,2,false)</f>
        <v>Computer Science</v>
      </c>
      <c r="E160" s="14">
        <v>45877.0</v>
      </c>
      <c r="F160" s="10">
        <f t="shared" si="1"/>
        <v>45877</v>
      </c>
      <c r="G160" s="8">
        <v>82.0</v>
      </c>
      <c r="H160" s="8">
        <v>74.0</v>
      </c>
      <c r="I160" s="8">
        <v>86.0</v>
      </c>
      <c r="J160" s="11">
        <f>G160*Scoring_Weights!B$2+H160*Scoring_Weights!B$3+I160*Scoring_Weights!B$4</f>
        <v>81.2</v>
      </c>
      <c r="K160" s="12">
        <v>0.8</v>
      </c>
      <c r="L160" s="8">
        <v>0.89</v>
      </c>
      <c r="M160" s="12">
        <f t="shared" si="2"/>
        <v>0.89</v>
      </c>
      <c r="N160" s="8" t="s">
        <v>272</v>
      </c>
      <c r="O160" s="13">
        <f>vlookup(N160,Interview_Slots!$A$1:$D$5,3,false)</f>
        <v>70</v>
      </c>
      <c r="P160" s="13">
        <f>vlookup(N160,Interview_Slots!$A$1:$D$5,4,false)</f>
        <v>80</v>
      </c>
      <c r="Q160" s="13" t="str">
        <f t="shared" si="3"/>
        <v>Eligible</v>
      </c>
      <c r="R160" s="7" t="s">
        <v>22</v>
      </c>
    </row>
    <row r="161" ht="15.75" hidden="1" customHeight="1">
      <c r="A161" s="8" t="s">
        <v>347</v>
      </c>
      <c r="B161" s="8" t="s">
        <v>348</v>
      </c>
      <c r="C161" s="8" t="s">
        <v>161</v>
      </c>
      <c r="D161" s="9" t="str">
        <f>vlookup(C161,Dept_Lookup!A$1:B$17,2,false)</f>
        <v>Mechanical</v>
      </c>
      <c r="E161" s="14">
        <v>45880.0</v>
      </c>
      <c r="F161" s="10">
        <f t="shared" si="1"/>
        <v>45880</v>
      </c>
      <c r="G161" s="8">
        <v>97.0</v>
      </c>
      <c r="H161" s="8">
        <v>57.0</v>
      </c>
      <c r="I161" s="8">
        <v>93.0</v>
      </c>
      <c r="J161" s="11">
        <f>G161*Scoring_Weights!B$2+H161*Scoring_Weights!B$3+I161*Scoring_Weights!B$4</f>
        <v>81</v>
      </c>
      <c r="K161" s="12">
        <v>0.78</v>
      </c>
      <c r="L161" s="8">
        <v>0.77</v>
      </c>
      <c r="M161" s="12">
        <f t="shared" si="2"/>
        <v>0.77</v>
      </c>
      <c r="N161" s="8" t="s">
        <v>272</v>
      </c>
      <c r="O161" s="13">
        <f>vlookup(N161,Interview_Slots!$A$1:$D$5,3,false)</f>
        <v>70</v>
      </c>
      <c r="P161" s="13">
        <f>vlookup(N161,Interview_Slots!$A$1:$D$5,4,false)</f>
        <v>80</v>
      </c>
      <c r="Q161" s="13" t="str">
        <f t="shared" si="3"/>
        <v>Not Eligible</v>
      </c>
    </row>
    <row r="162" ht="15.75" customHeight="1">
      <c r="A162" s="8" t="s">
        <v>349</v>
      </c>
      <c r="B162" s="8" t="s">
        <v>350</v>
      </c>
      <c r="C162" s="8" t="s">
        <v>57</v>
      </c>
      <c r="D162" s="9" t="str">
        <f>vlookup(C162,Dept_Lookup!A$1:B$17,2,false)</f>
        <v>Computer Science</v>
      </c>
      <c r="E162" s="14">
        <v>45913.0</v>
      </c>
      <c r="F162" s="10">
        <f t="shared" si="1"/>
        <v>45913</v>
      </c>
      <c r="G162" s="8">
        <v>77.0</v>
      </c>
      <c r="H162" s="8">
        <v>98.0</v>
      </c>
      <c r="I162" s="8">
        <v>70.0</v>
      </c>
      <c r="J162" s="11">
        <f>G162*Scoring_Weights!B$2+H162*Scoring_Weights!B$3+I162*Scoring_Weights!B$4</f>
        <v>80.85</v>
      </c>
      <c r="K162" s="12">
        <v>0.91</v>
      </c>
      <c r="L162" s="8">
        <v>0.89</v>
      </c>
      <c r="M162" s="12">
        <f t="shared" si="2"/>
        <v>0.89</v>
      </c>
      <c r="N162" s="8" t="s">
        <v>272</v>
      </c>
      <c r="O162" s="13">
        <f>vlookup(N162,Interview_Slots!$A$1:$D$5,3,false)</f>
        <v>70</v>
      </c>
      <c r="P162" s="13">
        <f>vlookup(N162,Interview_Slots!$A$1:$D$5,4,false)</f>
        <v>80</v>
      </c>
      <c r="Q162" s="13" t="str">
        <f t="shared" si="3"/>
        <v>Eligible</v>
      </c>
      <c r="R162" s="7" t="s">
        <v>22</v>
      </c>
    </row>
    <row r="163" ht="15.75" hidden="1" customHeight="1">
      <c r="A163" s="8" t="s">
        <v>351</v>
      </c>
      <c r="B163" s="8" t="s">
        <v>352</v>
      </c>
      <c r="C163" s="8" t="s">
        <v>50</v>
      </c>
      <c r="D163" s="9" t="str">
        <f>vlookup(C163,Dept_Lookup!A$1:B$17,2,false)</f>
        <v>Electronics</v>
      </c>
      <c r="E163" s="14">
        <v>45854.0</v>
      </c>
      <c r="F163" s="10">
        <f t="shared" si="1"/>
        <v>45854</v>
      </c>
      <c r="G163" s="8">
        <v>90.0</v>
      </c>
      <c r="H163" s="8">
        <v>91.0</v>
      </c>
      <c r="I163" s="8">
        <v>71.0</v>
      </c>
      <c r="J163" s="11">
        <f>G163*Scoring_Weights!B$2+H163*Scoring_Weights!B$3+I163*Scoring_Weights!B$4</f>
        <v>80.85</v>
      </c>
      <c r="K163" s="12">
        <v>0.75</v>
      </c>
      <c r="L163" s="8">
        <v>0.77</v>
      </c>
      <c r="M163" s="12">
        <f t="shared" si="2"/>
        <v>0.77</v>
      </c>
      <c r="N163" s="8" t="s">
        <v>272</v>
      </c>
      <c r="O163" s="13">
        <f>vlookup(N163,Interview_Slots!$A$1:$D$5,3,false)</f>
        <v>70</v>
      </c>
      <c r="P163" s="13">
        <f>vlookup(N163,Interview_Slots!$A$1:$D$5,4,false)</f>
        <v>80</v>
      </c>
      <c r="Q163" s="13" t="str">
        <f t="shared" si="3"/>
        <v>Not Eligible</v>
      </c>
    </row>
    <row r="164" ht="15.75" customHeight="1">
      <c r="A164" s="8" t="s">
        <v>353</v>
      </c>
      <c r="B164" s="8" t="s">
        <v>354</v>
      </c>
      <c r="C164" s="8" t="s">
        <v>161</v>
      </c>
      <c r="D164" s="9" t="str">
        <f>vlookup(C164,Dept_Lookup!A$1:B$17,2,false)</f>
        <v>Mechanical</v>
      </c>
      <c r="E164" s="14">
        <v>45900.0</v>
      </c>
      <c r="F164" s="10">
        <f t="shared" si="1"/>
        <v>45900</v>
      </c>
      <c r="G164" s="8">
        <v>96.0</v>
      </c>
      <c r="H164" s="8">
        <v>74.0</v>
      </c>
      <c r="I164" s="8">
        <v>81.0</v>
      </c>
      <c r="J164" s="11">
        <f>G164*Scoring_Weights!B$2+H164*Scoring_Weights!B$3+I164*Scoring_Weights!B$4</f>
        <v>80.8</v>
      </c>
      <c r="K164" s="12">
        <v>0.91</v>
      </c>
      <c r="L164" s="8">
        <v>0.99</v>
      </c>
      <c r="M164" s="12">
        <f t="shared" si="2"/>
        <v>0.99</v>
      </c>
      <c r="N164" s="8" t="s">
        <v>272</v>
      </c>
      <c r="O164" s="13">
        <f>vlookup(N164,Interview_Slots!$A$1:$D$5,3,false)</f>
        <v>70</v>
      </c>
      <c r="P164" s="13">
        <f>vlookup(N164,Interview_Slots!$A$1:$D$5,4,false)</f>
        <v>80</v>
      </c>
      <c r="Q164" s="13" t="str">
        <f t="shared" si="3"/>
        <v>Eligible</v>
      </c>
      <c r="R164" s="7" t="s">
        <v>22</v>
      </c>
    </row>
    <row r="165" ht="15.75" customHeight="1">
      <c r="A165" s="8" t="s">
        <v>355</v>
      </c>
      <c r="B165" s="8" t="s">
        <v>356</v>
      </c>
      <c r="C165" s="8" t="s">
        <v>102</v>
      </c>
      <c r="D165" s="9" t="str">
        <f>vlookup(C165,Dept_Lookup!A$1:B$17,2,false)</f>
        <v>Computer Science</v>
      </c>
      <c r="E165" s="14">
        <v>45854.0</v>
      </c>
      <c r="F165" s="10">
        <f t="shared" si="1"/>
        <v>45854</v>
      </c>
      <c r="G165" s="8">
        <v>61.0</v>
      </c>
      <c r="H165" s="8">
        <v>90.0</v>
      </c>
      <c r="I165" s="8">
        <v>80.0</v>
      </c>
      <c r="J165" s="11">
        <f>G165*Scoring_Weights!B$2+H165*Scoring_Weights!B$3+I165*Scoring_Weights!B$4</f>
        <v>80.65</v>
      </c>
      <c r="K165" s="12">
        <v>0.92</v>
      </c>
      <c r="L165" s="8">
        <v>0.88</v>
      </c>
      <c r="M165" s="12">
        <f t="shared" si="2"/>
        <v>0.88</v>
      </c>
      <c r="N165" s="8" t="s">
        <v>272</v>
      </c>
      <c r="O165" s="13">
        <f>vlookup(N165,Interview_Slots!$A$1:$D$5,3,false)</f>
        <v>70</v>
      </c>
      <c r="P165" s="13">
        <f>vlookup(N165,Interview_Slots!$A$1:$D$5,4,false)</f>
        <v>80</v>
      </c>
      <c r="Q165" s="13" t="str">
        <f t="shared" si="3"/>
        <v>Eligible</v>
      </c>
      <c r="R165" s="7" t="s">
        <v>22</v>
      </c>
    </row>
    <row r="166" ht="15.75" customHeight="1">
      <c r="A166" s="8" t="s">
        <v>357</v>
      </c>
      <c r="B166" s="8" t="s">
        <v>358</v>
      </c>
      <c r="C166" s="8" t="s">
        <v>102</v>
      </c>
      <c r="D166" s="9" t="str">
        <f>vlookup(C166,Dept_Lookup!A$1:B$17,2,false)</f>
        <v>Computer Science</v>
      </c>
      <c r="E166" s="14">
        <v>45842.0</v>
      </c>
      <c r="F166" s="10">
        <f t="shared" si="1"/>
        <v>45842</v>
      </c>
      <c r="G166" s="8">
        <v>71.0</v>
      </c>
      <c r="H166" s="8">
        <v>94.0</v>
      </c>
      <c r="I166" s="8">
        <v>74.0</v>
      </c>
      <c r="J166" s="11">
        <f>G166*Scoring_Weights!B$2+H166*Scoring_Weights!B$3+I166*Scoring_Weights!B$4</f>
        <v>80.55</v>
      </c>
      <c r="K166" s="12">
        <v>0.93</v>
      </c>
      <c r="L166" s="8">
        <v>0.85</v>
      </c>
      <c r="M166" s="12">
        <f t="shared" si="2"/>
        <v>0.85</v>
      </c>
      <c r="N166" s="8" t="s">
        <v>272</v>
      </c>
      <c r="O166" s="13">
        <f>vlookup(N166,Interview_Slots!$A$1:$D$5,3,false)</f>
        <v>70</v>
      </c>
      <c r="P166" s="13">
        <f>vlookup(N166,Interview_Slots!$A$1:$D$5,4,false)</f>
        <v>80</v>
      </c>
      <c r="Q166" s="13" t="str">
        <f t="shared" si="3"/>
        <v>Eligible</v>
      </c>
      <c r="R166" s="7" t="s">
        <v>22</v>
      </c>
    </row>
    <row r="167" ht="15.75" customHeight="1">
      <c r="A167" s="8" t="s">
        <v>359</v>
      </c>
      <c r="B167" s="8" t="s">
        <v>360</v>
      </c>
      <c r="C167" s="8" t="s">
        <v>20</v>
      </c>
      <c r="D167" s="9" t="str">
        <f>vlookup(C167,Dept_Lookup!A$1:B$17,2,false)</f>
        <v>Electronics</v>
      </c>
      <c r="E167" s="14">
        <v>45877.0</v>
      </c>
      <c r="F167" s="10">
        <f t="shared" si="1"/>
        <v>45877</v>
      </c>
      <c r="G167" s="8">
        <v>92.0</v>
      </c>
      <c r="H167" s="8">
        <v>65.0</v>
      </c>
      <c r="I167" s="8">
        <v>88.0</v>
      </c>
      <c r="J167" s="11">
        <f>G167*Scoring_Weights!B$2+H167*Scoring_Weights!B$3+I167*Scoring_Weights!B$4</f>
        <v>80.55</v>
      </c>
      <c r="K167" s="12">
        <v>0.82</v>
      </c>
      <c r="L167" s="8">
        <v>0.97</v>
      </c>
      <c r="M167" s="12">
        <f t="shared" si="2"/>
        <v>0.97</v>
      </c>
      <c r="N167" s="8" t="s">
        <v>272</v>
      </c>
      <c r="O167" s="13">
        <f>vlookup(N167,Interview_Slots!$A$1:$D$5,3,false)</f>
        <v>70</v>
      </c>
      <c r="P167" s="13">
        <f>vlookup(N167,Interview_Slots!$A$1:$D$5,4,false)</f>
        <v>80</v>
      </c>
      <c r="Q167" s="13" t="str">
        <f t="shared" si="3"/>
        <v>Eligible</v>
      </c>
      <c r="R167" s="7" t="s">
        <v>22</v>
      </c>
    </row>
    <row r="168" ht="15.75" customHeight="1">
      <c r="A168" s="8" t="s">
        <v>361</v>
      </c>
      <c r="B168" s="8" t="s">
        <v>362</v>
      </c>
      <c r="C168" s="8" t="s">
        <v>47</v>
      </c>
      <c r="D168" s="9" t="str">
        <f>vlookup(C168,Dept_Lookup!A$1:B$17,2,false)</f>
        <v>Civil</v>
      </c>
      <c r="E168" s="14">
        <v>45919.0</v>
      </c>
      <c r="F168" s="10">
        <f t="shared" si="1"/>
        <v>45919</v>
      </c>
      <c r="G168" s="8">
        <v>88.0</v>
      </c>
      <c r="H168" s="8">
        <v>62.0</v>
      </c>
      <c r="I168" s="8">
        <v>91.0</v>
      </c>
      <c r="J168" s="11">
        <f>G168*Scoring_Weights!B$2+H168*Scoring_Weights!B$3+I168*Scoring_Weights!B$4</f>
        <v>80.4</v>
      </c>
      <c r="K168" s="12">
        <v>0.89</v>
      </c>
      <c r="L168" s="8">
        <v>0.95</v>
      </c>
      <c r="M168" s="12">
        <f t="shared" si="2"/>
        <v>0.95</v>
      </c>
      <c r="N168" s="8" t="s">
        <v>272</v>
      </c>
      <c r="O168" s="13">
        <f>vlookup(N168,Interview_Slots!$A$1:$D$5,3,false)</f>
        <v>70</v>
      </c>
      <c r="P168" s="13">
        <f>vlookup(N168,Interview_Slots!$A$1:$D$5,4,false)</f>
        <v>80</v>
      </c>
      <c r="Q168" s="13" t="str">
        <f t="shared" si="3"/>
        <v>Eligible</v>
      </c>
      <c r="R168" s="7" t="s">
        <v>22</v>
      </c>
    </row>
    <row r="169" ht="15.75" customHeight="1">
      <c r="A169" s="8" t="s">
        <v>363</v>
      </c>
      <c r="B169" s="8" t="s">
        <v>364</v>
      </c>
      <c r="C169" s="8" t="s">
        <v>108</v>
      </c>
      <c r="D169" s="9" t="str">
        <f>vlookup(C169,Dept_Lookup!A$1:B$17,2,false)</f>
        <v>Civil</v>
      </c>
      <c r="E169" s="9">
        <v>45887.0</v>
      </c>
      <c r="F169" s="10">
        <f t="shared" si="1"/>
        <v>45887</v>
      </c>
      <c r="G169" s="8">
        <v>73.0</v>
      </c>
      <c r="H169" s="8">
        <v>84.0</v>
      </c>
      <c r="I169" s="8">
        <v>80.0</v>
      </c>
      <c r="J169" s="11">
        <f>G169*Scoring_Weights!B$2+H169*Scoring_Weights!B$3+I169*Scoring_Weights!B$4</f>
        <v>80.35</v>
      </c>
      <c r="K169" s="12">
        <v>0.83</v>
      </c>
      <c r="L169" s="12">
        <v>0.92</v>
      </c>
      <c r="M169" s="12">
        <f t="shared" si="2"/>
        <v>0.92</v>
      </c>
      <c r="N169" s="8" t="s">
        <v>272</v>
      </c>
      <c r="O169" s="13">
        <f>vlookup(N169,Interview_Slots!$A$1:$D$5,3,false)</f>
        <v>70</v>
      </c>
      <c r="P169" s="13">
        <f>vlookup(N169,Interview_Slots!$A$1:$D$5,4,false)</f>
        <v>80</v>
      </c>
      <c r="Q169" s="13" t="str">
        <f t="shared" si="3"/>
        <v>Eligible</v>
      </c>
      <c r="R169" s="7" t="s">
        <v>22</v>
      </c>
    </row>
    <row r="170" ht="15.75" hidden="1" customHeight="1">
      <c r="A170" s="8" t="s">
        <v>365</v>
      </c>
      <c r="B170" s="8" t="s">
        <v>366</v>
      </c>
      <c r="C170" s="8" t="s">
        <v>35</v>
      </c>
      <c r="D170" s="9" t="str">
        <f>vlookup(C170,Dept_Lookup!A$1:B$17,2,false)</f>
        <v>Electronics</v>
      </c>
      <c r="E170" s="14">
        <v>45919.0</v>
      </c>
      <c r="F170" s="10">
        <f t="shared" si="1"/>
        <v>45919</v>
      </c>
      <c r="G170" s="8">
        <v>66.0</v>
      </c>
      <c r="H170" s="8">
        <v>68.0</v>
      </c>
      <c r="I170" s="8">
        <v>93.0</v>
      </c>
      <c r="J170" s="11">
        <f>G170*Scoring_Weights!B$2+H170*Scoring_Weights!B$3+I170*Scoring_Weights!B$4</f>
        <v>80.2</v>
      </c>
      <c r="K170" s="12">
        <v>0.79</v>
      </c>
      <c r="L170" s="8">
        <v>0.81</v>
      </c>
      <c r="M170" s="12">
        <f t="shared" si="2"/>
        <v>0.81</v>
      </c>
      <c r="N170" s="8" t="s">
        <v>272</v>
      </c>
      <c r="O170" s="13">
        <f>vlookup(N170,Interview_Slots!$A$1:$D$5,3,false)</f>
        <v>70</v>
      </c>
      <c r="P170" s="13">
        <f>vlookup(N170,Interview_Slots!$A$1:$D$5,4,false)</f>
        <v>80</v>
      </c>
      <c r="Q170" s="13" t="str">
        <f t="shared" si="3"/>
        <v>Not Eligible</v>
      </c>
    </row>
    <row r="171" ht="15.75" customHeight="1">
      <c r="A171" s="8" t="s">
        <v>367</v>
      </c>
      <c r="B171" s="8" t="s">
        <v>368</v>
      </c>
      <c r="C171" s="8" t="s">
        <v>50</v>
      </c>
      <c r="D171" s="9" t="str">
        <f>vlookup(C171,Dept_Lookup!A$1:B$17,2,false)</f>
        <v>Electronics</v>
      </c>
      <c r="E171" s="14">
        <v>45929.0</v>
      </c>
      <c r="F171" s="10">
        <f t="shared" si="1"/>
        <v>45929</v>
      </c>
      <c r="G171" s="8">
        <v>76.0</v>
      </c>
      <c r="H171" s="8">
        <v>62.0</v>
      </c>
      <c r="I171" s="8">
        <v>94.0</v>
      </c>
      <c r="J171" s="11">
        <f>G171*Scoring_Weights!B$2+H171*Scoring_Weights!B$3+I171*Scoring_Weights!B$4</f>
        <v>80.1</v>
      </c>
      <c r="K171" s="12">
        <v>0.8</v>
      </c>
      <c r="L171" s="12">
        <v>0.96</v>
      </c>
      <c r="M171" s="12">
        <f t="shared" si="2"/>
        <v>0.96</v>
      </c>
      <c r="N171" s="8" t="s">
        <v>272</v>
      </c>
      <c r="O171" s="13">
        <f>vlookup(N171,Interview_Slots!$A$1:$D$5,3,false)</f>
        <v>70</v>
      </c>
      <c r="P171" s="13">
        <f>vlookup(N171,Interview_Slots!$A$1:$D$5,4,false)</f>
        <v>80</v>
      </c>
      <c r="Q171" s="13" t="str">
        <f t="shared" si="3"/>
        <v>Eligible</v>
      </c>
      <c r="R171" s="7" t="s">
        <v>22</v>
      </c>
    </row>
    <row r="172" ht="15.75" hidden="1" customHeight="1">
      <c r="A172" s="8" t="s">
        <v>369</v>
      </c>
      <c r="B172" s="8" t="s">
        <v>370</v>
      </c>
      <c r="C172" s="8" t="s">
        <v>105</v>
      </c>
      <c r="D172" s="9" t="str">
        <f>vlookup(C172,Dept_Lookup!A$1:B$17,2,false)</f>
        <v>Civil</v>
      </c>
      <c r="E172" s="14">
        <v>45845.0</v>
      </c>
      <c r="F172" s="10">
        <f t="shared" si="1"/>
        <v>45845</v>
      </c>
      <c r="G172" s="8">
        <v>76.0</v>
      </c>
      <c r="H172" s="8">
        <v>86.0</v>
      </c>
      <c r="I172" s="8">
        <v>77.0</v>
      </c>
      <c r="J172" s="11">
        <f>G172*Scoring_Weights!B$2+H172*Scoring_Weights!B$3+I172*Scoring_Weights!B$4</f>
        <v>80</v>
      </c>
      <c r="K172" s="12">
        <v>0.76</v>
      </c>
      <c r="L172" s="8">
        <v>0.77</v>
      </c>
      <c r="M172" s="12">
        <f t="shared" si="2"/>
        <v>0.77</v>
      </c>
      <c r="N172" s="8" t="s">
        <v>272</v>
      </c>
      <c r="O172" s="13">
        <f>vlookup(N172,Interview_Slots!$A$1:$D$5,3,false)</f>
        <v>70</v>
      </c>
      <c r="P172" s="13">
        <f>vlookup(N172,Interview_Slots!$A$1:$D$5,4,false)</f>
        <v>80</v>
      </c>
      <c r="Q172" s="13" t="str">
        <f t="shared" si="3"/>
        <v>Not Eligible</v>
      </c>
    </row>
    <row r="173" ht="15.75" hidden="1" customHeight="1">
      <c r="A173" s="8" t="s">
        <v>371</v>
      </c>
      <c r="B173" s="8" t="s">
        <v>372</v>
      </c>
      <c r="C173" s="8" t="s">
        <v>57</v>
      </c>
      <c r="D173" s="9" t="str">
        <f>vlookup(C173,Dept_Lookup!A$1:B$17,2,false)</f>
        <v>Computer Science</v>
      </c>
      <c r="E173" s="14">
        <v>45870.0</v>
      </c>
      <c r="F173" s="10">
        <f t="shared" si="1"/>
        <v>45870</v>
      </c>
      <c r="G173" s="8">
        <v>75.0</v>
      </c>
      <c r="H173" s="8">
        <v>72.0</v>
      </c>
      <c r="I173" s="8">
        <v>87.0</v>
      </c>
      <c r="J173" s="11">
        <f>G173*Scoring_Weights!B$2+H173*Scoring_Weights!B$3+I173*Scoring_Weights!B$4</f>
        <v>79.95</v>
      </c>
      <c r="K173" s="12">
        <v>0.75</v>
      </c>
      <c r="L173" s="8">
        <v>0.87</v>
      </c>
      <c r="M173" s="12">
        <f t="shared" si="2"/>
        <v>0.87</v>
      </c>
      <c r="N173" s="8" t="s">
        <v>272</v>
      </c>
      <c r="O173" s="13">
        <f>vlookup(N173,Interview_Slots!$A$1:$D$5,3,false)</f>
        <v>70</v>
      </c>
      <c r="P173" s="13">
        <f>vlookup(N173,Interview_Slots!$A$1:$D$5,4,false)</f>
        <v>80</v>
      </c>
      <c r="Q173" s="13" t="str">
        <f t="shared" si="3"/>
        <v>Not Eligible</v>
      </c>
    </row>
    <row r="174" ht="15.75" hidden="1" customHeight="1">
      <c r="A174" s="8" t="s">
        <v>373</v>
      </c>
      <c r="B174" s="8" t="s">
        <v>374</v>
      </c>
      <c r="C174" s="8" t="s">
        <v>83</v>
      </c>
      <c r="D174" s="9" t="str">
        <f>vlookup(C174,Dept_Lookup!A$1:B$17,2,false)</f>
        <v>Civil</v>
      </c>
      <c r="E174" s="9">
        <v>45872.0</v>
      </c>
      <c r="F174" s="10">
        <f t="shared" si="1"/>
        <v>45872</v>
      </c>
      <c r="G174" s="8">
        <v>63.0</v>
      </c>
      <c r="H174" s="8">
        <v>91.0</v>
      </c>
      <c r="I174" s="8">
        <v>77.0</v>
      </c>
      <c r="J174" s="11">
        <f>G174*Scoring_Weights!B$2+H174*Scoring_Weights!B$3+I174*Scoring_Weights!B$4</f>
        <v>79.8</v>
      </c>
      <c r="K174" s="12">
        <v>0.79</v>
      </c>
      <c r="L174" s="8">
        <v>0.8</v>
      </c>
      <c r="M174" s="12">
        <f t="shared" si="2"/>
        <v>0.8</v>
      </c>
      <c r="N174" s="8" t="s">
        <v>272</v>
      </c>
      <c r="O174" s="13">
        <f>vlookup(N174,Interview_Slots!$A$1:$D$5,3,false)</f>
        <v>70</v>
      </c>
      <c r="P174" s="13">
        <f>vlookup(N174,Interview_Slots!$A$1:$D$5,4,false)</f>
        <v>80</v>
      </c>
      <c r="Q174" s="13" t="str">
        <f t="shared" si="3"/>
        <v>Not Eligible</v>
      </c>
    </row>
    <row r="175" ht="15.75" customHeight="1">
      <c r="A175" s="8" t="s">
        <v>375</v>
      </c>
      <c r="B175" s="8" t="s">
        <v>376</v>
      </c>
      <c r="C175" s="8" t="s">
        <v>41</v>
      </c>
      <c r="D175" s="9" t="str">
        <f>vlookup(C175,Dept_Lookup!A$1:B$17,2,false)</f>
        <v>Mechanical</v>
      </c>
      <c r="E175" s="14">
        <v>45854.0</v>
      </c>
      <c r="F175" s="10">
        <f t="shared" si="1"/>
        <v>45854</v>
      </c>
      <c r="G175" s="8">
        <v>73.0</v>
      </c>
      <c r="H175" s="8">
        <v>98.0</v>
      </c>
      <c r="I175" s="8">
        <v>69.0</v>
      </c>
      <c r="J175" s="11">
        <f>G175*Scoring_Weights!B$2+H175*Scoring_Weights!B$3+I175*Scoring_Weights!B$4</f>
        <v>79.75</v>
      </c>
      <c r="K175" s="12">
        <v>0.89</v>
      </c>
      <c r="L175" s="8">
        <v>0.85</v>
      </c>
      <c r="M175" s="12">
        <f t="shared" si="2"/>
        <v>0.85</v>
      </c>
      <c r="N175" s="8" t="s">
        <v>272</v>
      </c>
      <c r="O175" s="13">
        <f>vlookup(N175,Interview_Slots!$A$1:$D$5,3,false)</f>
        <v>70</v>
      </c>
      <c r="P175" s="13">
        <f>vlookup(N175,Interview_Slots!$A$1:$D$5,4,false)</f>
        <v>80</v>
      </c>
      <c r="Q175" s="13" t="str">
        <f t="shared" si="3"/>
        <v>Eligible</v>
      </c>
      <c r="R175" s="7" t="s">
        <v>22</v>
      </c>
    </row>
    <row r="176" ht="15.75" hidden="1" customHeight="1">
      <c r="A176" s="8" t="s">
        <v>377</v>
      </c>
      <c r="B176" s="8" t="s">
        <v>378</v>
      </c>
      <c r="C176" s="8" t="s">
        <v>44</v>
      </c>
      <c r="D176" s="9" t="str">
        <f>vlookup(C176,Dept_Lookup!A$1:B$17,2,false)</f>
        <v>Computer Science</v>
      </c>
      <c r="E176" s="9">
        <v>45893.0</v>
      </c>
      <c r="F176" s="10">
        <f t="shared" si="1"/>
        <v>45893</v>
      </c>
      <c r="G176" s="8">
        <v>70.0</v>
      </c>
      <c r="H176" s="8">
        <v>86.0</v>
      </c>
      <c r="I176" s="8">
        <v>78.0</v>
      </c>
      <c r="J176" s="11">
        <f>G176*Scoring_Weights!B$2+H176*Scoring_Weights!B$3+I176*Scoring_Weights!B$4</f>
        <v>79.6</v>
      </c>
      <c r="K176" s="12">
        <v>0.78</v>
      </c>
      <c r="L176" s="12">
        <v>0.8</v>
      </c>
      <c r="M176" s="12">
        <f t="shared" si="2"/>
        <v>0.8</v>
      </c>
      <c r="N176" s="8" t="s">
        <v>272</v>
      </c>
      <c r="O176" s="13">
        <f>vlookup(N176,Interview_Slots!$A$1:$D$5,3,false)</f>
        <v>70</v>
      </c>
      <c r="P176" s="13">
        <f>vlookup(N176,Interview_Slots!$A$1:$D$5,4,false)</f>
        <v>80</v>
      </c>
      <c r="Q176" s="13" t="str">
        <f t="shared" si="3"/>
        <v>Not Eligible</v>
      </c>
    </row>
    <row r="177" ht="15.75" hidden="1" customHeight="1">
      <c r="A177" s="8" t="s">
        <v>379</v>
      </c>
      <c r="B177" s="8" t="s">
        <v>49</v>
      </c>
      <c r="C177" s="8" t="s">
        <v>50</v>
      </c>
      <c r="D177" s="9" t="str">
        <f>vlookup(C177,Dept_Lookup!A$1:B$17,2,false)</f>
        <v>Electronics</v>
      </c>
      <c r="E177" s="14">
        <v>45877.0</v>
      </c>
      <c r="F177" s="10">
        <f t="shared" si="1"/>
        <v>45877</v>
      </c>
      <c r="G177" s="8">
        <v>85.0</v>
      </c>
      <c r="H177" s="8">
        <v>65.0</v>
      </c>
      <c r="I177" s="8">
        <v>88.0</v>
      </c>
      <c r="J177" s="11">
        <f>G177*Scoring_Weights!B$2+H177*Scoring_Weights!B$3+I177*Scoring_Weights!B$4</f>
        <v>79.5</v>
      </c>
      <c r="K177" s="12">
        <v>0.79</v>
      </c>
      <c r="L177" s="8">
        <v>0.93</v>
      </c>
      <c r="M177" s="12">
        <f t="shared" si="2"/>
        <v>0.93</v>
      </c>
      <c r="N177" s="8" t="s">
        <v>272</v>
      </c>
      <c r="O177" s="13">
        <f>vlookup(N177,Interview_Slots!$A$1:$D$5,3,false)</f>
        <v>70</v>
      </c>
      <c r="P177" s="13">
        <f>vlookup(N177,Interview_Slots!$A$1:$D$5,4,false)</f>
        <v>80</v>
      </c>
      <c r="Q177" s="13" t="str">
        <f t="shared" si="3"/>
        <v>Not Eligible</v>
      </c>
    </row>
    <row r="178" ht="15.75" customHeight="1">
      <c r="A178" s="8" t="s">
        <v>380</v>
      </c>
      <c r="B178" s="8" t="s">
        <v>381</v>
      </c>
      <c r="C178" s="8" t="s">
        <v>20</v>
      </c>
      <c r="D178" s="9" t="str">
        <f>vlookup(C178,Dept_Lookup!A$1:B$17,2,false)</f>
        <v>Electronics</v>
      </c>
      <c r="E178" s="14">
        <v>45900.0</v>
      </c>
      <c r="F178" s="10">
        <f t="shared" si="1"/>
        <v>45900</v>
      </c>
      <c r="G178" s="8">
        <v>76.0</v>
      </c>
      <c r="H178" s="8">
        <v>60.0</v>
      </c>
      <c r="I178" s="8">
        <v>94.0</v>
      </c>
      <c r="J178" s="11">
        <f>G178*Scoring_Weights!B$2+H178*Scoring_Weights!B$3+I178*Scoring_Weights!B$4</f>
        <v>79.4</v>
      </c>
      <c r="K178" s="12">
        <v>0.83</v>
      </c>
      <c r="L178" s="12">
        <v>0.87</v>
      </c>
      <c r="M178" s="12">
        <f t="shared" si="2"/>
        <v>0.87</v>
      </c>
      <c r="N178" s="8" t="s">
        <v>272</v>
      </c>
      <c r="O178" s="13">
        <f>vlookup(N178,Interview_Slots!$A$1:$D$5,3,false)</f>
        <v>70</v>
      </c>
      <c r="P178" s="13">
        <f>vlookup(N178,Interview_Slots!$A$1:$D$5,4,false)</f>
        <v>80</v>
      </c>
      <c r="Q178" s="13" t="str">
        <f t="shared" si="3"/>
        <v>Eligible</v>
      </c>
      <c r="R178" s="7" t="s">
        <v>22</v>
      </c>
    </row>
    <row r="179" ht="15.75" customHeight="1">
      <c r="A179" s="8" t="s">
        <v>382</v>
      </c>
      <c r="B179" s="8" t="s">
        <v>383</v>
      </c>
      <c r="C179" s="8" t="s">
        <v>28</v>
      </c>
      <c r="D179" s="9" t="str">
        <f>vlookup(C179,Dept_Lookup!A$1:B$17,2,false)</f>
        <v>Electronics</v>
      </c>
      <c r="E179" s="14">
        <v>45919.0</v>
      </c>
      <c r="F179" s="10">
        <f t="shared" si="1"/>
        <v>45919</v>
      </c>
      <c r="G179" s="8">
        <v>72.0</v>
      </c>
      <c r="H179" s="8">
        <v>75.0</v>
      </c>
      <c r="I179" s="8">
        <v>84.0</v>
      </c>
      <c r="J179" s="11">
        <f>G179*Scoring_Weights!B$2+H179*Scoring_Weights!B$3+I179*Scoring_Weights!B$4</f>
        <v>79.05</v>
      </c>
      <c r="K179" s="12">
        <v>0.81</v>
      </c>
      <c r="L179" s="8">
        <v>0.88</v>
      </c>
      <c r="M179" s="12">
        <f t="shared" si="2"/>
        <v>0.88</v>
      </c>
      <c r="N179" s="8" t="s">
        <v>272</v>
      </c>
      <c r="O179" s="13">
        <f>vlookup(N179,Interview_Slots!$A$1:$D$5,3,false)</f>
        <v>70</v>
      </c>
      <c r="P179" s="13">
        <f>vlookup(N179,Interview_Slots!$A$1:$D$5,4,false)</f>
        <v>80</v>
      </c>
      <c r="Q179" s="13" t="str">
        <f t="shared" si="3"/>
        <v>Eligible</v>
      </c>
      <c r="R179" s="7" t="s">
        <v>22</v>
      </c>
    </row>
    <row r="180" ht="15.75" hidden="1" customHeight="1">
      <c r="A180" s="8" t="s">
        <v>384</v>
      </c>
      <c r="B180" s="8" t="s">
        <v>385</v>
      </c>
      <c r="C180" s="8" t="s">
        <v>44</v>
      </c>
      <c r="D180" s="9" t="str">
        <f>vlookup(C180,Dept_Lookup!A$1:B$17,2,false)</f>
        <v>Computer Science</v>
      </c>
      <c r="E180" s="9">
        <v>45893.0</v>
      </c>
      <c r="F180" s="10">
        <f t="shared" si="1"/>
        <v>45893</v>
      </c>
      <c r="G180" s="8">
        <v>92.0</v>
      </c>
      <c r="H180" s="8">
        <v>82.0</v>
      </c>
      <c r="I180" s="8">
        <v>73.0</v>
      </c>
      <c r="J180" s="11">
        <f>G180*Scoring_Weights!B$2+H180*Scoring_Weights!B$3+I180*Scoring_Weights!B$4</f>
        <v>79</v>
      </c>
      <c r="K180" s="12">
        <v>0.79</v>
      </c>
      <c r="L180" s="8">
        <v>0.77</v>
      </c>
      <c r="M180" s="12">
        <f t="shared" si="2"/>
        <v>0.77</v>
      </c>
      <c r="N180" s="8" t="s">
        <v>272</v>
      </c>
      <c r="O180" s="13">
        <f>vlookup(N180,Interview_Slots!$A$1:$D$5,3,false)</f>
        <v>70</v>
      </c>
      <c r="P180" s="13">
        <f>vlookup(N180,Interview_Slots!$A$1:$D$5,4,false)</f>
        <v>80</v>
      </c>
      <c r="Q180" s="13" t="str">
        <f t="shared" si="3"/>
        <v>Not Eligible</v>
      </c>
    </row>
    <row r="181" ht="15.75" hidden="1" customHeight="1">
      <c r="A181" s="8" t="s">
        <v>386</v>
      </c>
      <c r="B181" s="8" t="s">
        <v>387</v>
      </c>
      <c r="C181" s="8" t="s">
        <v>72</v>
      </c>
      <c r="D181" s="9" t="str">
        <f>vlookup(C181,Dept_Lookup!A$1:B$17,2,false)</f>
        <v>Mechanical</v>
      </c>
      <c r="E181" s="9">
        <v>45870.0</v>
      </c>
      <c r="F181" s="10">
        <f t="shared" si="1"/>
        <v>45870</v>
      </c>
      <c r="G181" s="8">
        <v>70.0</v>
      </c>
      <c r="H181" s="8">
        <v>86.0</v>
      </c>
      <c r="I181" s="8">
        <v>76.0</v>
      </c>
      <c r="J181" s="11">
        <f>G181*Scoring_Weights!B$2+H181*Scoring_Weights!B$3+I181*Scoring_Weights!B$4</f>
        <v>78.6</v>
      </c>
      <c r="K181" s="12">
        <v>0.79</v>
      </c>
      <c r="L181" s="8">
        <v>0.83</v>
      </c>
      <c r="M181" s="12">
        <f t="shared" si="2"/>
        <v>0.83</v>
      </c>
      <c r="N181" s="8" t="s">
        <v>272</v>
      </c>
      <c r="O181" s="13">
        <f>vlookup(N181,Interview_Slots!$A$1:$D$5,3,false)</f>
        <v>70</v>
      </c>
      <c r="P181" s="13">
        <f>vlookup(N181,Interview_Slots!$A$1:$D$5,4,false)</f>
        <v>80</v>
      </c>
      <c r="Q181" s="13" t="str">
        <f t="shared" si="3"/>
        <v>Not Eligible</v>
      </c>
    </row>
    <row r="182" ht="15.75" hidden="1" customHeight="1">
      <c r="A182" s="8" t="s">
        <v>388</v>
      </c>
      <c r="B182" s="8" t="s">
        <v>389</v>
      </c>
      <c r="C182" s="8" t="s">
        <v>47</v>
      </c>
      <c r="D182" s="9" t="str">
        <f>vlookup(C182,Dept_Lookup!A$1:B$17,2,false)</f>
        <v>Civil</v>
      </c>
      <c r="E182" s="9">
        <v>45887.0</v>
      </c>
      <c r="F182" s="10">
        <f t="shared" si="1"/>
        <v>45887</v>
      </c>
      <c r="G182" s="8">
        <v>86.0</v>
      </c>
      <c r="H182" s="8">
        <v>80.0</v>
      </c>
      <c r="I182" s="8">
        <v>75.0</v>
      </c>
      <c r="J182" s="11">
        <f>G182*Scoring_Weights!B$2+H182*Scoring_Weights!B$3+I182*Scoring_Weights!B$4</f>
        <v>78.4</v>
      </c>
      <c r="K182" s="12">
        <v>0.77</v>
      </c>
      <c r="L182" s="12">
        <v>0.73</v>
      </c>
      <c r="M182" s="12">
        <f t="shared" si="2"/>
        <v>0.73</v>
      </c>
      <c r="N182" s="8" t="s">
        <v>272</v>
      </c>
      <c r="O182" s="13">
        <f>vlookup(N182,Interview_Slots!$A$1:$D$5,3,false)</f>
        <v>70</v>
      </c>
      <c r="P182" s="13">
        <f>vlookup(N182,Interview_Slots!$A$1:$D$5,4,false)</f>
        <v>80</v>
      </c>
      <c r="Q182" s="13" t="str">
        <f t="shared" si="3"/>
        <v>Not Eligible</v>
      </c>
    </row>
    <row r="183" ht="15.75" customHeight="1">
      <c r="A183" s="8" t="s">
        <v>390</v>
      </c>
      <c r="B183" s="8" t="s">
        <v>391</v>
      </c>
      <c r="C183" s="8" t="s">
        <v>102</v>
      </c>
      <c r="D183" s="9" t="str">
        <f>vlookup(C183,Dept_Lookup!A$1:B$17,2,false)</f>
        <v>Computer Science</v>
      </c>
      <c r="E183" s="9">
        <v>45878.0</v>
      </c>
      <c r="F183" s="10">
        <f t="shared" si="1"/>
        <v>45878</v>
      </c>
      <c r="G183" s="8">
        <v>75.0</v>
      </c>
      <c r="H183" s="8">
        <v>59.0</v>
      </c>
      <c r="I183" s="8">
        <v>93.0</v>
      </c>
      <c r="J183" s="11">
        <f>G183*Scoring_Weights!B$2+H183*Scoring_Weights!B$3+I183*Scoring_Weights!B$4</f>
        <v>78.4</v>
      </c>
      <c r="K183" s="12">
        <v>0.93</v>
      </c>
      <c r="L183" s="8">
        <v>0.86</v>
      </c>
      <c r="M183" s="12">
        <f t="shared" si="2"/>
        <v>0.86</v>
      </c>
      <c r="N183" s="8" t="s">
        <v>272</v>
      </c>
      <c r="O183" s="13">
        <f>vlookup(N183,Interview_Slots!$A$1:$D$5,3,false)</f>
        <v>70</v>
      </c>
      <c r="P183" s="13">
        <f>vlookup(N183,Interview_Slots!$A$1:$D$5,4,false)</f>
        <v>80</v>
      </c>
      <c r="Q183" s="13" t="str">
        <f t="shared" si="3"/>
        <v>Eligible</v>
      </c>
      <c r="R183" s="7" t="s">
        <v>22</v>
      </c>
    </row>
    <row r="184" ht="15.75" hidden="1" customHeight="1">
      <c r="A184" s="8" t="s">
        <v>392</v>
      </c>
      <c r="B184" s="8" t="s">
        <v>393</v>
      </c>
      <c r="C184" s="8" t="s">
        <v>161</v>
      </c>
      <c r="D184" s="9" t="str">
        <f>vlookup(C184,Dept_Lookup!A$1:B$17,2,false)</f>
        <v>Mechanical</v>
      </c>
      <c r="E184" s="14">
        <v>45929.0</v>
      </c>
      <c r="F184" s="10">
        <f t="shared" si="1"/>
        <v>45929</v>
      </c>
      <c r="G184" s="8">
        <v>59.0</v>
      </c>
      <c r="H184" s="8">
        <v>65.0</v>
      </c>
      <c r="I184" s="8">
        <v>93.0</v>
      </c>
      <c r="J184" s="11">
        <f>G184*Scoring_Weights!B$2+H184*Scoring_Weights!B$3+I184*Scoring_Weights!B$4</f>
        <v>78.1</v>
      </c>
      <c r="K184" s="12">
        <v>0.77</v>
      </c>
      <c r="L184" s="8">
        <v>0.8</v>
      </c>
      <c r="M184" s="12">
        <f t="shared" si="2"/>
        <v>0.8</v>
      </c>
      <c r="N184" s="8" t="s">
        <v>272</v>
      </c>
      <c r="O184" s="13">
        <f>vlookup(N184,Interview_Slots!$A$1:$D$5,3,false)</f>
        <v>70</v>
      </c>
      <c r="P184" s="13">
        <f>vlookup(N184,Interview_Slots!$A$1:$D$5,4,false)</f>
        <v>80</v>
      </c>
      <c r="Q184" s="13" t="str">
        <f t="shared" si="3"/>
        <v>Not Eligible</v>
      </c>
    </row>
    <row r="185" ht="15.75" customHeight="1">
      <c r="A185" s="8" t="s">
        <v>394</v>
      </c>
      <c r="B185" s="8" t="s">
        <v>395</v>
      </c>
      <c r="C185" s="8" t="s">
        <v>108</v>
      </c>
      <c r="D185" s="9" t="str">
        <f>vlookup(C185,Dept_Lookup!A$1:B$17,2,false)</f>
        <v>Civil</v>
      </c>
      <c r="E185" s="9">
        <v>45860.0</v>
      </c>
      <c r="F185" s="10">
        <f t="shared" si="1"/>
        <v>45860</v>
      </c>
      <c r="G185" s="8">
        <v>74.0</v>
      </c>
      <c r="H185" s="8">
        <v>71.0</v>
      </c>
      <c r="I185" s="8">
        <v>84.0</v>
      </c>
      <c r="J185" s="11">
        <f>G185*Scoring_Weights!B$2+H185*Scoring_Weights!B$3+I185*Scoring_Weights!B$4</f>
        <v>77.95</v>
      </c>
      <c r="K185" s="12">
        <v>0.93</v>
      </c>
      <c r="L185" s="8">
        <v>0.83</v>
      </c>
      <c r="M185" s="12">
        <f t="shared" si="2"/>
        <v>0.83</v>
      </c>
      <c r="N185" s="8" t="s">
        <v>272</v>
      </c>
      <c r="O185" s="13">
        <f>vlookup(N185,Interview_Slots!$A$1:$D$5,3,false)</f>
        <v>70</v>
      </c>
      <c r="P185" s="13">
        <f>vlookup(N185,Interview_Slots!$A$1:$D$5,4,false)</f>
        <v>80</v>
      </c>
      <c r="Q185" s="13" t="str">
        <f t="shared" si="3"/>
        <v>Eligible</v>
      </c>
      <c r="R185" s="7" t="s">
        <v>22</v>
      </c>
    </row>
    <row r="186" ht="15.75" customHeight="1">
      <c r="A186" s="8" t="s">
        <v>396</v>
      </c>
      <c r="B186" s="8" t="s">
        <v>397</v>
      </c>
      <c r="C186" s="8" t="s">
        <v>41</v>
      </c>
      <c r="D186" s="9" t="str">
        <f>vlookup(C186,Dept_Lookup!A$1:B$17,2,false)</f>
        <v>Mechanical</v>
      </c>
      <c r="E186" s="14">
        <v>45880.0</v>
      </c>
      <c r="F186" s="10">
        <f t="shared" si="1"/>
        <v>45880</v>
      </c>
      <c r="G186" s="8">
        <v>91.0</v>
      </c>
      <c r="H186" s="8">
        <v>58.0</v>
      </c>
      <c r="I186" s="8">
        <v>88.0</v>
      </c>
      <c r="J186" s="11">
        <f>G186*Scoring_Weights!B$2+H186*Scoring_Weights!B$3+I186*Scoring_Weights!B$4</f>
        <v>77.95</v>
      </c>
      <c r="K186" s="12">
        <v>0.81</v>
      </c>
      <c r="L186" s="8">
        <v>0.77</v>
      </c>
      <c r="M186" s="12">
        <f t="shared" si="2"/>
        <v>0.77</v>
      </c>
      <c r="N186" s="8" t="s">
        <v>272</v>
      </c>
      <c r="O186" s="13">
        <f>vlookup(N186,Interview_Slots!$A$1:$D$5,3,false)</f>
        <v>70</v>
      </c>
      <c r="P186" s="13">
        <f>vlookup(N186,Interview_Slots!$A$1:$D$5,4,false)</f>
        <v>80</v>
      </c>
      <c r="Q186" s="13" t="str">
        <f t="shared" si="3"/>
        <v>Eligible</v>
      </c>
      <c r="R186" s="7" t="s">
        <v>22</v>
      </c>
    </row>
    <row r="187" ht="15.75" hidden="1" customHeight="1">
      <c r="A187" s="8" t="s">
        <v>398</v>
      </c>
      <c r="B187" s="8" t="s">
        <v>71</v>
      </c>
      <c r="C187" s="8" t="s">
        <v>72</v>
      </c>
      <c r="D187" s="9" t="str">
        <f>vlookup(C187,Dept_Lookup!A$1:B$17,2,false)</f>
        <v>Mechanical</v>
      </c>
      <c r="E187" s="9">
        <v>45887.0</v>
      </c>
      <c r="F187" s="10">
        <f t="shared" si="1"/>
        <v>45887</v>
      </c>
      <c r="G187" s="8">
        <v>87.0</v>
      </c>
      <c r="H187" s="8">
        <v>71.0</v>
      </c>
      <c r="I187" s="8">
        <v>80.0</v>
      </c>
      <c r="J187" s="11">
        <f>G187*Scoring_Weights!B$2+H187*Scoring_Weights!B$3+I187*Scoring_Weights!B$4</f>
        <v>77.9</v>
      </c>
      <c r="K187" s="12">
        <v>0.78</v>
      </c>
      <c r="L187" s="8">
        <v>0.98</v>
      </c>
      <c r="M187" s="12">
        <f t="shared" si="2"/>
        <v>0.98</v>
      </c>
      <c r="N187" s="8" t="s">
        <v>272</v>
      </c>
      <c r="O187" s="13">
        <f>vlookup(N187,Interview_Slots!$A$1:$D$5,3,false)</f>
        <v>70</v>
      </c>
      <c r="P187" s="13">
        <f>vlookup(N187,Interview_Slots!$A$1:$D$5,4,false)</f>
        <v>80</v>
      </c>
      <c r="Q187" s="13" t="str">
        <f t="shared" si="3"/>
        <v>Not Eligible</v>
      </c>
    </row>
    <row r="188" ht="15.75" hidden="1" customHeight="1">
      <c r="A188" s="8" t="s">
        <v>399</v>
      </c>
      <c r="B188" s="8" t="s">
        <v>400</v>
      </c>
      <c r="C188" s="8" t="s">
        <v>50</v>
      </c>
      <c r="D188" s="9" t="str">
        <f>vlookup(C188,Dept_Lookup!A$1:B$17,2,false)</f>
        <v>Electronics</v>
      </c>
      <c r="E188" s="14">
        <v>45882.0</v>
      </c>
      <c r="F188" s="10">
        <f t="shared" si="1"/>
        <v>45882</v>
      </c>
      <c r="G188" s="8">
        <v>68.0</v>
      </c>
      <c r="H188" s="8">
        <v>84.0</v>
      </c>
      <c r="I188" s="8">
        <v>76.0</v>
      </c>
      <c r="J188" s="11">
        <f>G188*Scoring_Weights!B$2+H188*Scoring_Weights!B$3+I188*Scoring_Weights!B$4</f>
        <v>77.6</v>
      </c>
      <c r="K188" s="12">
        <v>0.78</v>
      </c>
      <c r="L188" s="12">
        <v>0.87</v>
      </c>
      <c r="M188" s="12">
        <f t="shared" si="2"/>
        <v>0.87</v>
      </c>
      <c r="N188" s="8" t="s">
        <v>272</v>
      </c>
      <c r="O188" s="13">
        <f>vlookup(N188,Interview_Slots!$A$1:$D$5,3,false)</f>
        <v>70</v>
      </c>
      <c r="P188" s="13">
        <f>vlookup(N188,Interview_Slots!$A$1:$D$5,4,false)</f>
        <v>80</v>
      </c>
      <c r="Q188" s="13" t="str">
        <f t="shared" si="3"/>
        <v>Not Eligible</v>
      </c>
    </row>
    <row r="189" ht="15.75" customHeight="1">
      <c r="A189" s="8" t="s">
        <v>401</v>
      </c>
      <c r="B189" s="8" t="s">
        <v>402</v>
      </c>
      <c r="C189" s="8" t="s">
        <v>25</v>
      </c>
      <c r="D189" s="9" t="str">
        <f>vlookup(C189,Dept_Lookup!A$1:B$17,2,false)</f>
        <v>Computer Science</v>
      </c>
      <c r="E189" s="14">
        <v>45854.0</v>
      </c>
      <c r="F189" s="10">
        <f t="shared" si="1"/>
        <v>45854</v>
      </c>
      <c r="G189" s="8">
        <v>72.0</v>
      </c>
      <c r="H189" s="8">
        <v>73.0</v>
      </c>
      <c r="I189" s="8">
        <v>82.0</v>
      </c>
      <c r="J189" s="11">
        <f>G189*Scoring_Weights!B$2+H189*Scoring_Weights!B$3+I189*Scoring_Weights!B$4</f>
        <v>77.35</v>
      </c>
      <c r="K189" s="12">
        <v>0.83</v>
      </c>
      <c r="L189" s="8">
        <v>0.93</v>
      </c>
      <c r="M189" s="12">
        <f t="shared" si="2"/>
        <v>0.93</v>
      </c>
      <c r="N189" s="8" t="s">
        <v>272</v>
      </c>
      <c r="O189" s="13">
        <f>vlookup(N189,Interview_Slots!$A$1:$D$5,3,false)</f>
        <v>70</v>
      </c>
      <c r="P189" s="13">
        <f>vlookup(N189,Interview_Slots!$A$1:$D$5,4,false)</f>
        <v>80</v>
      </c>
      <c r="Q189" s="13" t="str">
        <f t="shared" si="3"/>
        <v>Eligible</v>
      </c>
      <c r="R189" s="7" t="s">
        <v>22</v>
      </c>
    </row>
    <row r="190" ht="15.75" customHeight="1">
      <c r="A190" s="8" t="s">
        <v>403</v>
      </c>
      <c r="B190" s="8" t="s">
        <v>404</v>
      </c>
      <c r="C190" s="8" t="s">
        <v>47</v>
      </c>
      <c r="D190" s="9" t="str">
        <f>vlookup(C190,Dept_Lookup!A$1:B$17,2,false)</f>
        <v>Civil</v>
      </c>
      <c r="E190" s="9">
        <v>45872.0</v>
      </c>
      <c r="F190" s="10">
        <f t="shared" si="1"/>
        <v>45872</v>
      </c>
      <c r="G190" s="8">
        <v>71.0</v>
      </c>
      <c r="H190" s="8">
        <v>81.0</v>
      </c>
      <c r="I190" s="8">
        <v>76.0</v>
      </c>
      <c r="J190" s="11">
        <f>G190*Scoring_Weights!B$2+H190*Scoring_Weights!B$3+I190*Scoring_Weights!B$4</f>
        <v>77</v>
      </c>
      <c r="K190" s="12">
        <v>0.93</v>
      </c>
      <c r="L190" s="8">
        <v>0.85</v>
      </c>
      <c r="M190" s="12">
        <f t="shared" si="2"/>
        <v>0.85</v>
      </c>
      <c r="N190" s="8" t="s">
        <v>272</v>
      </c>
      <c r="O190" s="13">
        <f>vlookup(N190,Interview_Slots!$A$1:$D$5,3,false)</f>
        <v>70</v>
      </c>
      <c r="P190" s="13">
        <f>vlookup(N190,Interview_Slots!$A$1:$D$5,4,false)</f>
        <v>80</v>
      </c>
      <c r="Q190" s="13" t="str">
        <f t="shared" si="3"/>
        <v>Eligible</v>
      </c>
      <c r="R190" s="7" t="s">
        <v>22</v>
      </c>
    </row>
    <row r="191" ht="15.75" customHeight="1">
      <c r="A191" s="8" t="s">
        <v>405</v>
      </c>
      <c r="B191" s="8" t="s">
        <v>406</v>
      </c>
      <c r="C191" s="8" t="s">
        <v>72</v>
      </c>
      <c r="D191" s="9" t="str">
        <f>vlookup(C191,Dept_Lookup!A$1:B$17,2,false)</f>
        <v>Mechanical</v>
      </c>
      <c r="E191" s="14">
        <v>45865.0</v>
      </c>
      <c r="F191" s="10">
        <f t="shared" si="1"/>
        <v>45865</v>
      </c>
      <c r="G191" s="8">
        <v>83.0</v>
      </c>
      <c r="H191" s="8">
        <v>73.0</v>
      </c>
      <c r="I191" s="8">
        <v>78.0</v>
      </c>
      <c r="J191" s="11">
        <f>G191*Scoring_Weights!B$2+H191*Scoring_Weights!B$3+I191*Scoring_Weights!B$4</f>
        <v>77</v>
      </c>
      <c r="K191" s="12">
        <v>0.82</v>
      </c>
      <c r="L191" s="12">
        <v>0.99</v>
      </c>
      <c r="M191" s="12">
        <f t="shared" si="2"/>
        <v>0.99</v>
      </c>
      <c r="N191" s="8" t="s">
        <v>272</v>
      </c>
      <c r="O191" s="13">
        <f>vlookup(N191,Interview_Slots!$A$1:$D$5,3,false)</f>
        <v>70</v>
      </c>
      <c r="P191" s="13">
        <f>vlookup(N191,Interview_Slots!$A$1:$D$5,4,false)</f>
        <v>80</v>
      </c>
      <c r="Q191" s="13" t="str">
        <f t="shared" si="3"/>
        <v>Eligible</v>
      </c>
      <c r="R191" s="7" t="s">
        <v>22</v>
      </c>
    </row>
    <row r="192" ht="15.75" customHeight="1">
      <c r="A192" s="8" t="s">
        <v>407</v>
      </c>
      <c r="B192" s="8" t="s">
        <v>408</v>
      </c>
      <c r="C192" s="8" t="s">
        <v>44</v>
      </c>
      <c r="D192" s="9" t="str">
        <f>vlookup(C192,Dept_Lookup!A$1:B$17,2,false)</f>
        <v>Computer Science</v>
      </c>
      <c r="E192" s="14">
        <v>45877.0</v>
      </c>
      <c r="F192" s="10">
        <f t="shared" si="1"/>
        <v>45877</v>
      </c>
      <c r="G192" s="8">
        <v>67.0</v>
      </c>
      <c r="H192" s="8">
        <v>95.0</v>
      </c>
      <c r="I192" s="8">
        <v>67.0</v>
      </c>
      <c r="J192" s="11">
        <f>G192*Scoring_Weights!B$2+H192*Scoring_Weights!B$3+I192*Scoring_Weights!B$4</f>
        <v>76.8</v>
      </c>
      <c r="K192" s="12">
        <v>0.95</v>
      </c>
      <c r="L192" s="8">
        <v>0.89</v>
      </c>
      <c r="M192" s="12">
        <f t="shared" si="2"/>
        <v>0.89</v>
      </c>
      <c r="N192" s="8" t="s">
        <v>272</v>
      </c>
      <c r="O192" s="13">
        <f>vlookup(N192,Interview_Slots!$A$1:$D$5,3,false)</f>
        <v>70</v>
      </c>
      <c r="P192" s="13">
        <f>vlookup(N192,Interview_Slots!$A$1:$D$5,4,false)</f>
        <v>80</v>
      </c>
      <c r="Q192" s="13" t="str">
        <f t="shared" si="3"/>
        <v>Eligible</v>
      </c>
      <c r="R192" s="7" t="s">
        <v>22</v>
      </c>
    </row>
    <row r="193" ht="15.75" hidden="1" customHeight="1">
      <c r="A193" s="8" t="s">
        <v>409</v>
      </c>
      <c r="B193" s="8" t="s">
        <v>410</v>
      </c>
      <c r="C193" s="8" t="s">
        <v>102</v>
      </c>
      <c r="D193" s="9" t="str">
        <f>vlookup(C193,Dept_Lookup!A$1:B$17,2,false)</f>
        <v>Computer Science</v>
      </c>
      <c r="E193" s="14">
        <v>45913.0</v>
      </c>
      <c r="F193" s="10">
        <f t="shared" si="1"/>
        <v>45913</v>
      </c>
      <c r="G193" s="8">
        <v>93.0</v>
      </c>
      <c r="H193" s="8">
        <v>65.0</v>
      </c>
      <c r="I193" s="8">
        <v>80.0</v>
      </c>
      <c r="J193" s="11">
        <f>G193*Scoring_Weights!B$2+H193*Scoring_Weights!B$3+I193*Scoring_Weights!B$4</f>
        <v>76.7</v>
      </c>
      <c r="K193" s="12">
        <v>0.79</v>
      </c>
      <c r="L193" s="8">
        <v>0.96</v>
      </c>
      <c r="M193" s="12">
        <f t="shared" si="2"/>
        <v>0.96</v>
      </c>
      <c r="N193" s="8" t="s">
        <v>272</v>
      </c>
      <c r="O193" s="13">
        <f>vlookup(N193,Interview_Slots!$A$1:$D$5,3,false)</f>
        <v>70</v>
      </c>
      <c r="P193" s="13">
        <f>vlookup(N193,Interview_Slots!$A$1:$D$5,4,false)</f>
        <v>80</v>
      </c>
      <c r="Q193" s="13" t="str">
        <f t="shared" si="3"/>
        <v>Not Eligible</v>
      </c>
    </row>
    <row r="194" ht="15.75" hidden="1" customHeight="1">
      <c r="A194" s="8" t="s">
        <v>411</v>
      </c>
      <c r="B194" s="8" t="s">
        <v>412</v>
      </c>
      <c r="C194" s="8" t="s">
        <v>25</v>
      </c>
      <c r="D194" s="9" t="str">
        <f>vlookup(C194,Dept_Lookup!A$1:B$17,2,false)</f>
        <v>Computer Science</v>
      </c>
      <c r="E194" s="14">
        <v>45865.0</v>
      </c>
      <c r="F194" s="10">
        <f t="shared" si="1"/>
        <v>45865</v>
      </c>
      <c r="G194" s="8">
        <v>58.0</v>
      </c>
      <c r="H194" s="8">
        <v>97.0</v>
      </c>
      <c r="I194" s="8">
        <v>68.0</v>
      </c>
      <c r="J194" s="11">
        <f>G194*Scoring_Weights!B$2+H194*Scoring_Weights!B$3+I194*Scoring_Weights!B$4</f>
        <v>76.65</v>
      </c>
      <c r="K194" s="12">
        <v>0.77</v>
      </c>
      <c r="L194" s="8">
        <v>0.76</v>
      </c>
      <c r="M194" s="12">
        <f t="shared" si="2"/>
        <v>0.76</v>
      </c>
      <c r="N194" s="8" t="s">
        <v>272</v>
      </c>
      <c r="O194" s="13">
        <f>vlookup(N194,Interview_Slots!$A$1:$D$5,3,false)</f>
        <v>70</v>
      </c>
      <c r="P194" s="13">
        <f>vlookup(N194,Interview_Slots!$A$1:$D$5,4,false)</f>
        <v>80</v>
      </c>
      <c r="Q194" s="13" t="str">
        <f t="shared" si="3"/>
        <v>Not Eligible</v>
      </c>
    </row>
    <row r="195" ht="15.75" customHeight="1">
      <c r="A195" s="8" t="s">
        <v>413</v>
      </c>
      <c r="B195" s="8" t="s">
        <v>414</v>
      </c>
      <c r="C195" s="8" t="s">
        <v>25</v>
      </c>
      <c r="D195" s="9" t="str">
        <f>vlookup(C195,Dept_Lookup!A$1:B$17,2,false)</f>
        <v>Computer Science</v>
      </c>
      <c r="E195" s="14">
        <v>45865.0</v>
      </c>
      <c r="F195" s="10">
        <f t="shared" si="1"/>
        <v>45865</v>
      </c>
      <c r="G195" s="8">
        <v>96.0</v>
      </c>
      <c r="H195" s="8">
        <v>69.0</v>
      </c>
      <c r="I195" s="8">
        <v>76.0</v>
      </c>
      <c r="J195" s="11">
        <f>G195*Scoring_Weights!B$2+H195*Scoring_Weights!B$3+I195*Scoring_Weights!B$4</f>
        <v>76.55</v>
      </c>
      <c r="K195" s="12">
        <v>0.99</v>
      </c>
      <c r="L195" s="15">
        <v>0.84</v>
      </c>
      <c r="M195" s="12">
        <f t="shared" si="2"/>
        <v>0.84</v>
      </c>
      <c r="N195" s="8" t="s">
        <v>272</v>
      </c>
      <c r="O195" s="13">
        <f>vlookup(N195,Interview_Slots!$A$1:$D$5,3,false)</f>
        <v>70</v>
      </c>
      <c r="P195" s="13">
        <f>vlookup(N195,Interview_Slots!$A$1:$D$5,4,false)</f>
        <v>80</v>
      </c>
      <c r="Q195" s="13" t="str">
        <f t="shared" si="3"/>
        <v>Eligible</v>
      </c>
      <c r="R195" s="7" t="s">
        <v>22</v>
      </c>
    </row>
    <row r="196" ht="15.75" hidden="1" customHeight="1">
      <c r="A196" s="8" t="s">
        <v>415</v>
      </c>
      <c r="B196" s="8" t="s">
        <v>416</v>
      </c>
      <c r="C196" s="8" t="s">
        <v>38</v>
      </c>
      <c r="D196" s="9" t="str">
        <f>vlookup(C196,Dept_Lookup!A$1:B$17,2,false)</f>
        <v>Mechanical</v>
      </c>
      <c r="E196" s="14">
        <v>45913.0</v>
      </c>
      <c r="F196" s="10">
        <f t="shared" si="1"/>
        <v>45913</v>
      </c>
      <c r="G196" s="8">
        <v>89.0</v>
      </c>
      <c r="H196" s="8">
        <v>92.0</v>
      </c>
      <c r="I196" s="8">
        <v>61.0</v>
      </c>
      <c r="J196" s="11">
        <f>G196*Scoring_Weights!B$2+H196*Scoring_Weights!B$3+I196*Scoring_Weights!B$4</f>
        <v>76.05</v>
      </c>
      <c r="K196" s="12">
        <v>0.79</v>
      </c>
      <c r="L196" s="15">
        <v>0.73</v>
      </c>
      <c r="M196" s="12">
        <f t="shared" si="2"/>
        <v>0.73</v>
      </c>
      <c r="N196" s="8" t="s">
        <v>272</v>
      </c>
      <c r="O196" s="13">
        <f>vlookup(N196,Interview_Slots!$A$1:$D$5,3,false)</f>
        <v>70</v>
      </c>
      <c r="P196" s="13">
        <f>vlookup(N196,Interview_Slots!$A$1:$D$5,4,false)</f>
        <v>80</v>
      </c>
      <c r="Q196" s="13" t="str">
        <f t="shared" si="3"/>
        <v>Not Eligible</v>
      </c>
    </row>
    <row r="197" ht="15.75" customHeight="1">
      <c r="A197" s="8" t="s">
        <v>417</v>
      </c>
      <c r="B197" s="8" t="s">
        <v>418</v>
      </c>
      <c r="C197" s="8" t="s">
        <v>161</v>
      </c>
      <c r="D197" s="9" t="str">
        <f>vlookup(C197,Dept_Lookup!A$1:B$17,2,false)</f>
        <v>Mechanical</v>
      </c>
      <c r="E197" s="14">
        <v>45900.0</v>
      </c>
      <c r="F197" s="10">
        <f t="shared" si="1"/>
        <v>45900</v>
      </c>
      <c r="G197" s="8">
        <v>67.0</v>
      </c>
      <c r="H197" s="8">
        <v>94.0</v>
      </c>
      <c r="I197" s="8">
        <v>66.0</v>
      </c>
      <c r="J197" s="11">
        <f>G197*Scoring_Weights!B$2+H197*Scoring_Weights!B$3+I197*Scoring_Weights!B$4</f>
        <v>75.95</v>
      </c>
      <c r="K197" s="12">
        <v>0.93</v>
      </c>
      <c r="L197" s="8">
        <v>0.93</v>
      </c>
      <c r="M197" s="12">
        <f t="shared" si="2"/>
        <v>0.93</v>
      </c>
      <c r="N197" s="8" t="s">
        <v>272</v>
      </c>
      <c r="O197" s="13">
        <f>vlookup(N197,Interview_Slots!$A$1:$D$5,3,false)</f>
        <v>70</v>
      </c>
      <c r="P197" s="13">
        <f>vlookup(N197,Interview_Slots!$A$1:$D$5,4,false)</f>
        <v>80</v>
      </c>
      <c r="Q197" s="13" t="str">
        <f t="shared" si="3"/>
        <v>Eligible</v>
      </c>
      <c r="R197" s="7" t="s">
        <v>162</v>
      </c>
    </row>
    <row r="198" ht="15.75" customHeight="1">
      <c r="A198" s="8" t="s">
        <v>419</v>
      </c>
      <c r="B198" s="8" t="s">
        <v>420</v>
      </c>
      <c r="C198" s="8" t="s">
        <v>57</v>
      </c>
      <c r="D198" s="9" t="str">
        <f>vlookup(C198,Dept_Lookup!A$1:B$17,2,false)</f>
        <v>Computer Science</v>
      </c>
      <c r="E198" s="9">
        <v>45872.0</v>
      </c>
      <c r="F198" s="10">
        <f t="shared" si="1"/>
        <v>45872</v>
      </c>
      <c r="G198" s="8">
        <v>90.0</v>
      </c>
      <c r="H198" s="8">
        <v>74.0</v>
      </c>
      <c r="I198" s="8">
        <v>73.0</v>
      </c>
      <c r="J198" s="11">
        <f>G198*Scoring_Weights!B$2+H198*Scoring_Weights!B$3+I198*Scoring_Weights!B$4</f>
        <v>75.9</v>
      </c>
      <c r="K198" s="12">
        <v>0.9</v>
      </c>
      <c r="L198" s="12">
        <v>0.96</v>
      </c>
      <c r="M198" s="12">
        <f t="shared" si="2"/>
        <v>0.96</v>
      </c>
      <c r="N198" s="8" t="s">
        <v>272</v>
      </c>
      <c r="O198" s="13">
        <f>vlookup(N198,Interview_Slots!$A$1:$D$5,3,false)</f>
        <v>70</v>
      </c>
      <c r="P198" s="13">
        <f>vlookup(N198,Interview_Slots!$A$1:$D$5,4,false)</f>
        <v>80</v>
      </c>
      <c r="Q198" s="13" t="str">
        <f t="shared" si="3"/>
        <v>Eligible</v>
      </c>
      <c r="R198" s="7" t="s">
        <v>162</v>
      </c>
    </row>
    <row r="199" ht="15.75" hidden="1" customHeight="1">
      <c r="A199" s="8" t="s">
        <v>421</v>
      </c>
      <c r="B199" s="8" t="s">
        <v>422</v>
      </c>
      <c r="C199" s="8" t="s">
        <v>50</v>
      </c>
      <c r="D199" s="9" t="str">
        <f>vlookup(C199,Dept_Lookup!A$1:B$17,2,false)</f>
        <v>Electronics</v>
      </c>
      <c r="E199" s="9">
        <v>45893.0</v>
      </c>
      <c r="F199" s="10">
        <f t="shared" si="1"/>
        <v>45893</v>
      </c>
      <c r="G199" s="8">
        <v>76.0</v>
      </c>
      <c r="H199" s="8">
        <v>92.0</v>
      </c>
      <c r="I199" s="8">
        <v>64.0</v>
      </c>
      <c r="J199" s="11">
        <f>G199*Scoring_Weights!B$2+H199*Scoring_Weights!B$3+I199*Scoring_Weights!B$4</f>
        <v>75.6</v>
      </c>
      <c r="K199" s="12">
        <v>0.79</v>
      </c>
      <c r="L199" s="8">
        <v>0.75</v>
      </c>
      <c r="M199" s="12">
        <f t="shared" si="2"/>
        <v>0.75</v>
      </c>
      <c r="N199" s="8" t="s">
        <v>272</v>
      </c>
      <c r="O199" s="13">
        <f>vlookup(N199,Interview_Slots!$A$1:$D$5,3,false)</f>
        <v>70</v>
      </c>
      <c r="P199" s="13">
        <f>vlookup(N199,Interview_Slots!$A$1:$D$5,4,false)</f>
        <v>80</v>
      </c>
      <c r="Q199" s="13" t="str">
        <f t="shared" si="3"/>
        <v>Not Eligible</v>
      </c>
    </row>
    <row r="200" ht="15.75" customHeight="1">
      <c r="A200" s="8" t="s">
        <v>423</v>
      </c>
      <c r="B200" s="8" t="s">
        <v>424</v>
      </c>
      <c r="C200" s="8" t="s">
        <v>47</v>
      </c>
      <c r="D200" s="9" t="str">
        <f>vlookup(C200,Dept_Lookup!A$1:B$17,2,false)</f>
        <v>Civil</v>
      </c>
      <c r="E200" s="9">
        <v>45893.0</v>
      </c>
      <c r="F200" s="10">
        <f t="shared" si="1"/>
        <v>45893</v>
      </c>
      <c r="G200" s="8">
        <v>84.0</v>
      </c>
      <c r="H200" s="8">
        <v>91.0</v>
      </c>
      <c r="I200" s="8">
        <v>62.0</v>
      </c>
      <c r="J200" s="11">
        <f>G200*Scoring_Weights!B$2+H200*Scoring_Weights!B$3+I200*Scoring_Weights!B$4</f>
        <v>75.45</v>
      </c>
      <c r="K200" s="12">
        <v>0.92</v>
      </c>
      <c r="L200" s="8">
        <v>0.92</v>
      </c>
      <c r="M200" s="12">
        <f t="shared" si="2"/>
        <v>0.92</v>
      </c>
      <c r="N200" s="8" t="s">
        <v>272</v>
      </c>
      <c r="O200" s="13">
        <f>vlookup(N200,Interview_Slots!$A$1:$D$5,3,false)</f>
        <v>70</v>
      </c>
      <c r="P200" s="13">
        <f>vlookup(N200,Interview_Slots!$A$1:$D$5,4,false)</f>
        <v>80</v>
      </c>
      <c r="Q200" s="13" t="str">
        <f t="shared" si="3"/>
        <v>Eligible</v>
      </c>
      <c r="R200" s="7" t="s">
        <v>162</v>
      </c>
    </row>
    <row r="201" ht="15.75" hidden="1" customHeight="1">
      <c r="A201" s="8" t="s">
        <v>425</v>
      </c>
      <c r="B201" s="8" t="s">
        <v>426</v>
      </c>
      <c r="C201" s="8" t="s">
        <v>20</v>
      </c>
      <c r="D201" s="9" t="str">
        <f>vlookup(C201,Dept_Lookup!A$1:B$17,2,false)</f>
        <v>Electronics</v>
      </c>
      <c r="E201" s="14">
        <v>45900.0</v>
      </c>
      <c r="F201" s="10">
        <f t="shared" si="1"/>
        <v>45900</v>
      </c>
      <c r="G201" s="8">
        <v>80.0</v>
      </c>
      <c r="H201" s="8">
        <v>91.0</v>
      </c>
      <c r="I201" s="8">
        <v>63.0</v>
      </c>
      <c r="J201" s="11">
        <f>G201*Scoring_Weights!B$2+H201*Scoring_Weights!B$3+I201*Scoring_Weights!B$4</f>
        <v>75.35</v>
      </c>
      <c r="K201" s="12">
        <v>0.77</v>
      </c>
      <c r="L201" s="8">
        <v>0.97</v>
      </c>
      <c r="M201" s="12">
        <f t="shared" si="2"/>
        <v>0.97</v>
      </c>
      <c r="N201" s="8" t="s">
        <v>272</v>
      </c>
      <c r="O201" s="13">
        <f>vlookup(N201,Interview_Slots!$A$1:$D$5,3,false)</f>
        <v>70</v>
      </c>
      <c r="P201" s="13">
        <f>vlookup(N201,Interview_Slots!$A$1:$D$5,4,false)</f>
        <v>80</v>
      </c>
      <c r="Q201" s="13" t="str">
        <f t="shared" si="3"/>
        <v>Not Eligible</v>
      </c>
    </row>
    <row r="202" ht="15.75" customHeight="1">
      <c r="A202" s="8" t="s">
        <v>427</v>
      </c>
      <c r="B202" s="8" t="s">
        <v>428</v>
      </c>
      <c r="C202" s="8" t="s">
        <v>161</v>
      </c>
      <c r="D202" s="9" t="str">
        <f>vlookup(C202,Dept_Lookup!A$1:B$17,2,false)</f>
        <v>Mechanical</v>
      </c>
      <c r="E202" s="14">
        <v>45877.0</v>
      </c>
      <c r="F202" s="10">
        <f t="shared" si="1"/>
        <v>45877</v>
      </c>
      <c r="G202" s="8">
        <v>93.0</v>
      </c>
      <c r="H202" s="8">
        <v>83.0</v>
      </c>
      <c r="I202" s="8">
        <v>64.0</v>
      </c>
      <c r="J202" s="11">
        <f>G202*Scoring_Weights!B$2+H202*Scoring_Weights!B$3+I202*Scoring_Weights!B$4</f>
        <v>75</v>
      </c>
      <c r="K202" s="12">
        <v>0.81</v>
      </c>
      <c r="L202" s="8">
        <v>0.79</v>
      </c>
      <c r="M202" s="12">
        <f t="shared" si="2"/>
        <v>0.79</v>
      </c>
      <c r="N202" s="8" t="s">
        <v>272</v>
      </c>
      <c r="O202" s="13">
        <f>vlookup(N202,Interview_Slots!$A$1:$D$5,3,false)</f>
        <v>70</v>
      </c>
      <c r="P202" s="13">
        <f>vlookup(N202,Interview_Slots!$A$1:$D$5,4,false)</f>
        <v>80</v>
      </c>
      <c r="Q202" s="13" t="str">
        <f t="shared" si="3"/>
        <v>Eligible</v>
      </c>
      <c r="R202" s="7" t="s">
        <v>162</v>
      </c>
    </row>
    <row r="203" ht="15.75" customHeight="1">
      <c r="A203" s="8" t="s">
        <v>429</v>
      </c>
      <c r="B203" s="8" t="s">
        <v>430</v>
      </c>
      <c r="C203" s="8" t="s">
        <v>72</v>
      </c>
      <c r="D203" s="9" t="str">
        <f>vlookup(C203,Dept_Lookup!A$1:B$17,2,false)</f>
        <v>Mechanical</v>
      </c>
      <c r="E203" s="14">
        <v>45913.0</v>
      </c>
      <c r="F203" s="10">
        <f t="shared" si="1"/>
        <v>45913</v>
      </c>
      <c r="G203" s="8">
        <v>55.0</v>
      </c>
      <c r="H203" s="8">
        <v>72.0</v>
      </c>
      <c r="I203" s="8">
        <v>83.0</v>
      </c>
      <c r="J203" s="11">
        <f>G203*Scoring_Weights!B$2+H203*Scoring_Weights!B$3+I203*Scoring_Weights!B$4</f>
        <v>74.95</v>
      </c>
      <c r="K203" s="12">
        <v>0.8</v>
      </c>
      <c r="L203" s="8">
        <v>0.75</v>
      </c>
      <c r="M203" s="12">
        <f t="shared" si="2"/>
        <v>0.75</v>
      </c>
      <c r="N203" s="8" t="s">
        <v>272</v>
      </c>
      <c r="O203" s="13">
        <f>vlookup(N203,Interview_Slots!$A$1:$D$5,3,false)</f>
        <v>70</v>
      </c>
      <c r="P203" s="13">
        <f>vlookup(N203,Interview_Slots!$A$1:$D$5,4,false)</f>
        <v>80</v>
      </c>
      <c r="Q203" s="13" t="str">
        <f t="shared" si="3"/>
        <v>Eligible</v>
      </c>
      <c r="R203" s="7" t="s">
        <v>162</v>
      </c>
    </row>
    <row r="204" ht="15.75" customHeight="1">
      <c r="A204" s="8" t="s">
        <v>431</v>
      </c>
      <c r="B204" s="8" t="s">
        <v>432</v>
      </c>
      <c r="C204" s="8" t="s">
        <v>25</v>
      </c>
      <c r="D204" s="9" t="str">
        <f>vlookup(C204,Dept_Lookup!A$1:B$17,2,false)</f>
        <v>Computer Science</v>
      </c>
      <c r="E204" s="9">
        <v>45878.0</v>
      </c>
      <c r="F204" s="10">
        <f t="shared" si="1"/>
        <v>45878</v>
      </c>
      <c r="G204" s="8">
        <v>59.0</v>
      </c>
      <c r="H204" s="8">
        <v>60.0</v>
      </c>
      <c r="I204" s="8">
        <v>90.0</v>
      </c>
      <c r="J204" s="11">
        <f>G204*Scoring_Weights!B$2+H204*Scoring_Weights!B$3+I204*Scoring_Weights!B$4</f>
        <v>74.85</v>
      </c>
      <c r="K204" s="12">
        <v>0.83</v>
      </c>
      <c r="L204" s="15">
        <v>0.73</v>
      </c>
      <c r="M204" s="12">
        <f t="shared" si="2"/>
        <v>0.73</v>
      </c>
      <c r="N204" s="8" t="s">
        <v>272</v>
      </c>
      <c r="O204" s="13">
        <f>vlookup(N204,Interview_Slots!$A$1:$D$5,3,false)</f>
        <v>70</v>
      </c>
      <c r="P204" s="13">
        <f>vlookup(N204,Interview_Slots!$A$1:$D$5,4,false)</f>
        <v>80</v>
      </c>
      <c r="Q204" s="13" t="str">
        <f t="shared" si="3"/>
        <v>Eligible</v>
      </c>
      <c r="R204" s="7" t="s">
        <v>162</v>
      </c>
    </row>
    <row r="205" ht="15.75" customHeight="1">
      <c r="A205" s="8" t="s">
        <v>433</v>
      </c>
      <c r="B205" s="8" t="s">
        <v>434</v>
      </c>
      <c r="C205" s="8" t="s">
        <v>50</v>
      </c>
      <c r="D205" s="9" t="str">
        <f>vlookup(C205,Dept_Lookup!A$1:B$17,2,false)</f>
        <v>Electronics</v>
      </c>
      <c r="E205" s="14">
        <v>45929.0</v>
      </c>
      <c r="F205" s="10">
        <f t="shared" si="1"/>
        <v>45929</v>
      </c>
      <c r="G205" s="8">
        <v>65.0</v>
      </c>
      <c r="H205" s="8">
        <v>73.0</v>
      </c>
      <c r="I205" s="8">
        <v>79.0</v>
      </c>
      <c r="J205" s="11">
        <f>G205*Scoring_Weights!B$2+H205*Scoring_Weights!B$3+I205*Scoring_Weights!B$4</f>
        <v>74.8</v>
      </c>
      <c r="K205" s="12">
        <v>0.81</v>
      </c>
      <c r="L205" s="8">
        <v>0.8</v>
      </c>
      <c r="M205" s="12">
        <f t="shared" si="2"/>
        <v>0.8</v>
      </c>
      <c r="N205" s="8" t="s">
        <v>272</v>
      </c>
      <c r="O205" s="13">
        <f>vlookup(N205,Interview_Slots!$A$1:$D$5,3,false)</f>
        <v>70</v>
      </c>
      <c r="P205" s="13">
        <f>vlookup(N205,Interview_Slots!$A$1:$D$5,4,false)</f>
        <v>80</v>
      </c>
      <c r="Q205" s="13" t="str">
        <f t="shared" si="3"/>
        <v>Eligible</v>
      </c>
      <c r="R205" s="7" t="s">
        <v>162</v>
      </c>
    </row>
    <row r="206" ht="15.75" customHeight="1">
      <c r="A206" s="8" t="s">
        <v>435</v>
      </c>
      <c r="B206" s="8" t="s">
        <v>436</v>
      </c>
      <c r="C206" s="8" t="s">
        <v>72</v>
      </c>
      <c r="D206" s="9" t="str">
        <f>vlookup(C206,Dept_Lookup!A$1:B$17,2,false)</f>
        <v>Mechanical</v>
      </c>
      <c r="E206" s="14">
        <v>45882.0</v>
      </c>
      <c r="F206" s="10">
        <f t="shared" si="1"/>
        <v>45882</v>
      </c>
      <c r="G206" s="8">
        <v>97.0</v>
      </c>
      <c r="H206" s="8">
        <v>86.0</v>
      </c>
      <c r="I206" s="8">
        <v>60.0</v>
      </c>
      <c r="J206" s="11">
        <f>G206*Scoring_Weights!B$2+H206*Scoring_Weights!B$3+I206*Scoring_Weights!B$4</f>
        <v>74.65</v>
      </c>
      <c r="K206" s="12">
        <v>0.84</v>
      </c>
      <c r="L206" s="8">
        <v>0.78</v>
      </c>
      <c r="M206" s="12">
        <f t="shared" si="2"/>
        <v>0.78</v>
      </c>
      <c r="N206" s="8" t="s">
        <v>272</v>
      </c>
      <c r="O206" s="13">
        <f>vlookup(N206,Interview_Slots!$A$1:$D$5,3,false)</f>
        <v>70</v>
      </c>
      <c r="P206" s="13">
        <f>vlookup(N206,Interview_Slots!$A$1:$D$5,4,false)</f>
        <v>80</v>
      </c>
      <c r="Q206" s="13" t="str">
        <f t="shared" si="3"/>
        <v>Eligible</v>
      </c>
      <c r="R206" s="7" t="s">
        <v>162</v>
      </c>
    </row>
    <row r="207" ht="15.75" customHeight="1">
      <c r="A207" s="8" t="s">
        <v>437</v>
      </c>
      <c r="B207" s="8" t="s">
        <v>438</v>
      </c>
      <c r="C207" s="8" t="s">
        <v>83</v>
      </c>
      <c r="D207" s="9" t="str">
        <f>vlookup(C207,Dept_Lookup!A$1:B$17,2,false)</f>
        <v>Civil</v>
      </c>
      <c r="E207" s="14">
        <v>45880.0</v>
      </c>
      <c r="F207" s="10">
        <f t="shared" si="1"/>
        <v>45880</v>
      </c>
      <c r="G207" s="8">
        <v>68.0</v>
      </c>
      <c r="H207" s="8">
        <v>91.0</v>
      </c>
      <c r="I207" s="8">
        <v>65.0</v>
      </c>
      <c r="J207" s="11">
        <f>G207*Scoring_Weights!B$2+H207*Scoring_Weights!B$3+I207*Scoring_Weights!B$4</f>
        <v>74.55</v>
      </c>
      <c r="K207" s="12">
        <v>0.86</v>
      </c>
      <c r="L207" s="8">
        <v>0.9</v>
      </c>
      <c r="M207" s="12">
        <f t="shared" si="2"/>
        <v>0.9</v>
      </c>
      <c r="N207" s="8" t="s">
        <v>272</v>
      </c>
      <c r="O207" s="13">
        <f>vlookup(N207,Interview_Slots!$A$1:$D$5,3,false)</f>
        <v>70</v>
      </c>
      <c r="P207" s="13">
        <f>vlookup(N207,Interview_Slots!$A$1:$D$5,4,false)</f>
        <v>80</v>
      </c>
      <c r="Q207" s="13" t="str">
        <f t="shared" si="3"/>
        <v>Eligible</v>
      </c>
      <c r="R207" s="7" t="s">
        <v>162</v>
      </c>
    </row>
    <row r="208" ht="15.75" hidden="1" customHeight="1">
      <c r="A208" s="8" t="s">
        <v>439</v>
      </c>
      <c r="B208" s="8" t="s">
        <v>440</v>
      </c>
      <c r="C208" s="8" t="s">
        <v>38</v>
      </c>
      <c r="D208" s="9" t="str">
        <f>vlookup(C208,Dept_Lookup!A$1:B$17,2,false)</f>
        <v>Mechanical</v>
      </c>
      <c r="E208" s="14">
        <v>45870.0</v>
      </c>
      <c r="F208" s="10">
        <f t="shared" si="1"/>
        <v>45870</v>
      </c>
      <c r="G208" s="8">
        <v>80.0</v>
      </c>
      <c r="H208" s="8">
        <v>60.0</v>
      </c>
      <c r="I208" s="8">
        <v>83.0</v>
      </c>
      <c r="J208" s="11">
        <f>G208*Scoring_Weights!B$2+H208*Scoring_Weights!B$3+I208*Scoring_Weights!B$4</f>
        <v>74.5</v>
      </c>
      <c r="K208" s="12">
        <v>0.77</v>
      </c>
      <c r="L208" s="8">
        <v>0.93</v>
      </c>
      <c r="M208" s="12">
        <f t="shared" si="2"/>
        <v>0.93</v>
      </c>
      <c r="N208" s="8" t="s">
        <v>272</v>
      </c>
      <c r="O208" s="13">
        <f>vlookup(N208,Interview_Slots!$A$1:$D$5,3,false)</f>
        <v>70</v>
      </c>
      <c r="P208" s="13">
        <f>vlookup(N208,Interview_Slots!$A$1:$D$5,4,false)</f>
        <v>80</v>
      </c>
      <c r="Q208" s="13" t="str">
        <f t="shared" si="3"/>
        <v>Not Eligible</v>
      </c>
    </row>
    <row r="209" ht="15.75" customHeight="1">
      <c r="A209" s="8" t="s">
        <v>441</v>
      </c>
      <c r="B209" s="8" t="s">
        <v>442</v>
      </c>
      <c r="C209" s="8" t="s">
        <v>102</v>
      </c>
      <c r="D209" s="9" t="str">
        <f>vlookup(C209,Dept_Lookup!A$1:B$17,2,false)</f>
        <v>Computer Science</v>
      </c>
      <c r="E209" s="9">
        <v>45891.0</v>
      </c>
      <c r="F209" s="10">
        <f t="shared" si="1"/>
        <v>45891</v>
      </c>
      <c r="G209" s="8">
        <v>70.0</v>
      </c>
      <c r="H209" s="8">
        <v>91.0</v>
      </c>
      <c r="I209" s="8">
        <v>64.0</v>
      </c>
      <c r="J209" s="11">
        <f>G209*Scoring_Weights!B$2+H209*Scoring_Weights!B$3+I209*Scoring_Weights!B$4</f>
        <v>74.35</v>
      </c>
      <c r="K209" s="12">
        <v>0.82</v>
      </c>
      <c r="L209" s="8">
        <v>0.91</v>
      </c>
      <c r="M209" s="12">
        <f t="shared" si="2"/>
        <v>0.91</v>
      </c>
      <c r="N209" s="8" t="s">
        <v>272</v>
      </c>
      <c r="O209" s="13">
        <f>vlookup(N209,Interview_Slots!$A$1:$D$5,3,false)</f>
        <v>70</v>
      </c>
      <c r="P209" s="13">
        <f>vlookup(N209,Interview_Slots!$A$1:$D$5,4,false)</f>
        <v>80</v>
      </c>
      <c r="Q209" s="13" t="str">
        <f t="shared" si="3"/>
        <v>Eligible</v>
      </c>
      <c r="R209" s="7" t="s">
        <v>162</v>
      </c>
    </row>
    <row r="210" ht="15.75" customHeight="1">
      <c r="A210" s="8" t="s">
        <v>443</v>
      </c>
      <c r="B210" s="8" t="s">
        <v>444</v>
      </c>
      <c r="C210" s="8" t="s">
        <v>108</v>
      </c>
      <c r="D210" s="9" t="str">
        <f>vlookup(C210,Dept_Lookup!A$1:B$17,2,false)</f>
        <v>Civil</v>
      </c>
      <c r="E210" s="9">
        <v>45866.0</v>
      </c>
      <c r="F210" s="10">
        <f t="shared" si="1"/>
        <v>45866</v>
      </c>
      <c r="G210" s="8">
        <v>81.0</v>
      </c>
      <c r="H210" s="8">
        <v>64.0</v>
      </c>
      <c r="I210" s="8">
        <v>79.0</v>
      </c>
      <c r="J210" s="11">
        <f>G210*Scoring_Weights!B$2+H210*Scoring_Weights!B$3+I210*Scoring_Weights!B$4</f>
        <v>74.05</v>
      </c>
      <c r="K210" s="12">
        <v>0.83</v>
      </c>
      <c r="L210" s="8">
        <v>0.89</v>
      </c>
      <c r="M210" s="12">
        <f t="shared" si="2"/>
        <v>0.89</v>
      </c>
      <c r="N210" s="8" t="s">
        <v>272</v>
      </c>
      <c r="O210" s="13">
        <f>vlookup(N210,Interview_Slots!$A$1:$D$5,3,false)</f>
        <v>70</v>
      </c>
      <c r="P210" s="13">
        <f>vlookup(N210,Interview_Slots!$A$1:$D$5,4,false)</f>
        <v>80</v>
      </c>
      <c r="Q210" s="13" t="str">
        <f t="shared" si="3"/>
        <v>Eligible</v>
      </c>
      <c r="R210" s="7" t="s">
        <v>162</v>
      </c>
    </row>
    <row r="211" ht="15.75" hidden="1" customHeight="1">
      <c r="A211" s="8" t="s">
        <v>445</v>
      </c>
      <c r="B211" s="8" t="s">
        <v>446</v>
      </c>
      <c r="C211" s="8" t="s">
        <v>20</v>
      </c>
      <c r="D211" s="9" t="str">
        <f>vlookup(C211,Dept_Lookup!A$1:B$17,2,false)</f>
        <v>Electronics</v>
      </c>
      <c r="E211" s="9">
        <v>45881.0</v>
      </c>
      <c r="F211" s="10">
        <f t="shared" si="1"/>
        <v>45881</v>
      </c>
      <c r="G211" s="8">
        <v>97.0</v>
      </c>
      <c r="H211" s="8">
        <v>91.0</v>
      </c>
      <c r="I211" s="8">
        <v>55.0</v>
      </c>
      <c r="J211" s="11">
        <f>G211*Scoring_Weights!B$2+H211*Scoring_Weights!B$3+I211*Scoring_Weights!B$4</f>
        <v>73.9</v>
      </c>
      <c r="K211" s="12">
        <v>0.77</v>
      </c>
      <c r="L211" s="8">
        <v>1.0</v>
      </c>
      <c r="M211" s="12">
        <f t="shared" si="2"/>
        <v>1</v>
      </c>
      <c r="N211" s="8" t="s">
        <v>272</v>
      </c>
      <c r="O211" s="13">
        <f>vlookup(N211,Interview_Slots!$A$1:$D$5,3,false)</f>
        <v>70</v>
      </c>
      <c r="P211" s="13">
        <f>vlookup(N211,Interview_Slots!$A$1:$D$5,4,false)</f>
        <v>80</v>
      </c>
      <c r="Q211" s="13" t="str">
        <f t="shared" si="3"/>
        <v>Not Eligible</v>
      </c>
    </row>
    <row r="212" ht="15.75" hidden="1" customHeight="1">
      <c r="A212" s="8" t="s">
        <v>447</v>
      </c>
      <c r="B212" s="8" t="s">
        <v>448</v>
      </c>
      <c r="C212" s="8" t="s">
        <v>41</v>
      </c>
      <c r="D212" s="9" t="str">
        <f>vlookup(C212,Dept_Lookup!A$1:B$17,2,false)</f>
        <v>Mechanical</v>
      </c>
      <c r="E212" s="8" t="s">
        <v>92</v>
      </c>
      <c r="F212" s="10">
        <f t="shared" si="1"/>
        <v>45898</v>
      </c>
      <c r="G212" s="8">
        <v>97.0</v>
      </c>
      <c r="H212" s="8">
        <v>91.0</v>
      </c>
      <c r="I212" s="8">
        <v>55.0</v>
      </c>
      <c r="J212" s="11">
        <f>G212*Scoring_Weights!B$2+H212*Scoring_Weights!B$3+I212*Scoring_Weights!B$4</f>
        <v>73.9</v>
      </c>
      <c r="K212" s="12">
        <v>0.77</v>
      </c>
      <c r="L212" s="8">
        <v>1.0</v>
      </c>
      <c r="M212" s="12">
        <f t="shared" si="2"/>
        <v>1</v>
      </c>
      <c r="N212" s="8" t="s">
        <v>272</v>
      </c>
      <c r="O212" s="13">
        <f>vlookup(N212,Interview_Slots!$A$1:$D$5,3,false)</f>
        <v>70</v>
      </c>
      <c r="P212" s="13">
        <f>vlookup(N212,Interview_Slots!$A$1:$D$5,4,false)</f>
        <v>80</v>
      </c>
      <c r="Q212" s="13" t="str">
        <f t="shared" si="3"/>
        <v>Not Eligible</v>
      </c>
    </row>
    <row r="213" ht="15.75" customHeight="1">
      <c r="A213" s="8" t="s">
        <v>449</v>
      </c>
      <c r="B213" s="8" t="s">
        <v>450</v>
      </c>
      <c r="C213" s="8" t="s">
        <v>44</v>
      </c>
      <c r="D213" s="9" t="str">
        <f>vlookup(C213,Dept_Lookup!A$1:B$17,2,false)</f>
        <v>Computer Science</v>
      </c>
      <c r="E213" s="14">
        <v>45842.0</v>
      </c>
      <c r="F213" s="10">
        <f t="shared" si="1"/>
        <v>45842</v>
      </c>
      <c r="G213" s="8">
        <v>93.0</v>
      </c>
      <c r="H213" s="8">
        <v>61.0</v>
      </c>
      <c r="I213" s="8">
        <v>77.0</v>
      </c>
      <c r="J213" s="11">
        <f>G213*Scoring_Weights!B$2+H213*Scoring_Weights!B$3+I213*Scoring_Weights!B$4</f>
        <v>73.8</v>
      </c>
      <c r="K213" s="12">
        <v>0.83</v>
      </c>
      <c r="L213" s="12">
        <v>0.75</v>
      </c>
      <c r="M213" s="12">
        <f t="shared" si="2"/>
        <v>0.75</v>
      </c>
      <c r="N213" s="8" t="s">
        <v>272</v>
      </c>
      <c r="O213" s="13">
        <f>vlookup(N213,Interview_Slots!$A$1:$D$5,3,false)</f>
        <v>70</v>
      </c>
      <c r="P213" s="13">
        <f>vlookup(N213,Interview_Slots!$A$1:$D$5,4,false)</f>
        <v>80</v>
      </c>
      <c r="Q213" s="13" t="str">
        <f t="shared" si="3"/>
        <v>Eligible</v>
      </c>
      <c r="R213" s="7" t="s">
        <v>162</v>
      </c>
    </row>
    <row r="214" ht="15.75" customHeight="1">
      <c r="A214" s="8" t="s">
        <v>451</v>
      </c>
      <c r="B214" s="8" t="s">
        <v>452</v>
      </c>
      <c r="C214" s="8" t="s">
        <v>102</v>
      </c>
      <c r="D214" s="9" t="str">
        <f>vlookup(C214,Dept_Lookup!A$1:B$17,2,false)</f>
        <v>Computer Science</v>
      </c>
      <c r="E214" s="14">
        <v>45865.0</v>
      </c>
      <c r="F214" s="10">
        <f t="shared" si="1"/>
        <v>45865</v>
      </c>
      <c r="G214" s="8">
        <v>75.0</v>
      </c>
      <c r="H214" s="8">
        <v>90.0</v>
      </c>
      <c r="I214" s="8">
        <v>62.0</v>
      </c>
      <c r="J214" s="11">
        <f>G214*Scoring_Weights!B$2+H214*Scoring_Weights!B$3+I214*Scoring_Weights!B$4</f>
        <v>73.75</v>
      </c>
      <c r="K214" s="12">
        <v>0.85</v>
      </c>
      <c r="L214" s="8">
        <v>0.95</v>
      </c>
      <c r="M214" s="12">
        <f t="shared" si="2"/>
        <v>0.95</v>
      </c>
      <c r="N214" s="8" t="s">
        <v>272</v>
      </c>
      <c r="O214" s="13">
        <f>vlookup(N214,Interview_Slots!$A$1:$D$5,3,false)</f>
        <v>70</v>
      </c>
      <c r="P214" s="13">
        <f>vlookup(N214,Interview_Slots!$A$1:$D$5,4,false)</f>
        <v>80</v>
      </c>
      <c r="Q214" s="13" t="str">
        <f t="shared" si="3"/>
        <v>Eligible</v>
      </c>
      <c r="R214" s="7" t="s">
        <v>162</v>
      </c>
    </row>
    <row r="215" ht="15.75" hidden="1" customHeight="1">
      <c r="A215" s="8" t="s">
        <v>453</v>
      </c>
      <c r="B215" s="8" t="s">
        <v>454</v>
      </c>
      <c r="C215" s="8" t="s">
        <v>41</v>
      </c>
      <c r="D215" s="9" t="str">
        <f>vlookup(C215,Dept_Lookup!A$1:B$17,2,false)</f>
        <v>Mechanical</v>
      </c>
      <c r="E215" s="14">
        <v>45882.0</v>
      </c>
      <c r="F215" s="10">
        <f t="shared" si="1"/>
        <v>45882</v>
      </c>
      <c r="G215" s="8">
        <v>84.0</v>
      </c>
      <c r="H215" s="8">
        <v>56.0</v>
      </c>
      <c r="I215" s="8">
        <v>83.0</v>
      </c>
      <c r="J215" s="11">
        <f>G215*Scoring_Weights!B$2+H215*Scoring_Weights!B$3+I215*Scoring_Weights!B$4</f>
        <v>73.7</v>
      </c>
      <c r="K215" s="12">
        <v>0.75</v>
      </c>
      <c r="L215" s="12">
        <v>0.73</v>
      </c>
      <c r="M215" s="12">
        <f t="shared" si="2"/>
        <v>0.73</v>
      </c>
      <c r="N215" s="8" t="s">
        <v>272</v>
      </c>
      <c r="O215" s="13">
        <f>vlookup(N215,Interview_Slots!$A$1:$D$5,3,false)</f>
        <v>70</v>
      </c>
      <c r="P215" s="13">
        <f>vlookup(N215,Interview_Slots!$A$1:$D$5,4,false)</f>
        <v>80</v>
      </c>
      <c r="Q215" s="13" t="str">
        <f t="shared" si="3"/>
        <v>Not Eligible</v>
      </c>
    </row>
    <row r="216" ht="15.75" hidden="1" customHeight="1">
      <c r="A216" s="8" t="s">
        <v>455</v>
      </c>
      <c r="B216" s="8" t="s">
        <v>456</v>
      </c>
      <c r="C216" s="8" t="s">
        <v>44</v>
      </c>
      <c r="D216" s="9" t="str">
        <f>vlookup(C216,Dept_Lookup!A$1:B$17,2,false)</f>
        <v>Computer Science</v>
      </c>
      <c r="E216" s="14">
        <v>45854.0</v>
      </c>
      <c r="F216" s="10">
        <f t="shared" si="1"/>
        <v>45854</v>
      </c>
      <c r="G216" s="8">
        <v>63.0</v>
      </c>
      <c r="H216" s="8">
        <v>92.0</v>
      </c>
      <c r="I216" s="8">
        <v>64.0</v>
      </c>
      <c r="J216" s="11">
        <f>G216*Scoring_Weights!B$2+H216*Scoring_Weights!B$3+I216*Scoring_Weights!B$4</f>
        <v>73.65</v>
      </c>
      <c r="K216" s="12">
        <v>0.78</v>
      </c>
      <c r="L216" s="8">
        <v>0.87</v>
      </c>
      <c r="M216" s="12">
        <f t="shared" si="2"/>
        <v>0.87</v>
      </c>
      <c r="N216" s="8" t="s">
        <v>272</v>
      </c>
      <c r="O216" s="13">
        <f>vlookup(N216,Interview_Slots!$A$1:$D$5,3,false)</f>
        <v>70</v>
      </c>
      <c r="P216" s="13">
        <f>vlookup(N216,Interview_Slots!$A$1:$D$5,4,false)</f>
        <v>80</v>
      </c>
      <c r="Q216" s="13" t="str">
        <f t="shared" si="3"/>
        <v>Not Eligible</v>
      </c>
    </row>
    <row r="217" ht="15.75" hidden="1" customHeight="1">
      <c r="A217" s="8" t="s">
        <v>457</v>
      </c>
      <c r="B217" s="8" t="s">
        <v>458</v>
      </c>
      <c r="C217" s="8" t="s">
        <v>161</v>
      </c>
      <c r="D217" s="9" t="str">
        <f>vlookup(C217,Dept_Lookup!A$1:B$17,2,false)</f>
        <v>Mechanical</v>
      </c>
      <c r="E217" s="14">
        <v>45900.0</v>
      </c>
      <c r="F217" s="10">
        <f t="shared" si="1"/>
        <v>45900</v>
      </c>
      <c r="G217" s="8">
        <v>73.0</v>
      </c>
      <c r="H217" s="8">
        <v>89.0</v>
      </c>
      <c r="I217" s="8">
        <v>63.0</v>
      </c>
      <c r="J217" s="11">
        <f>G217*Scoring_Weights!B$2+H217*Scoring_Weights!B$3+I217*Scoring_Weights!B$4</f>
        <v>73.6</v>
      </c>
      <c r="K217" s="12">
        <v>0.75</v>
      </c>
      <c r="L217" s="8">
        <v>0.85</v>
      </c>
      <c r="M217" s="12">
        <f t="shared" si="2"/>
        <v>0.85</v>
      </c>
      <c r="N217" s="8" t="s">
        <v>272</v>
      </c>
      <c r="O217" s="13">
        <f>vlookup(N217,Interview_Slots!$A$1:$D$5,3,false)</f>
        <v>70</v>
      </c>
      <c r="P217" s="13">
        <f>vlookup(N217,Interview_Slots!$A$1:$D$5,4,false)</f>
        <v>80</v>
      </c>
      <c r="Q217" s="13" t="str">
        <f t="shared" si="3"/>
        <v>Not Eligible</v>
      </c>
    </row>
    <row r="218" ht="15.75" customHeight="1">
      <c r="A218" s="8" t="s">
        <v>459</v>
      </c>
      <c r="B218" s="8" t="s">
        <v>306</v>
      </c>
      <c r="C218" s="8" t="s">
        <v>47</v>
      </c>
      <c r="D218" s="9" t="str">
        <f>vlookup(C218,Dept_Lookup!A$1:B$17,2,false)</f>
        <v>Civil</v>
      </c>
      <c r="E218" s="9">
        <v>45878.0</v>
      </c>
      <c r="F218" s="10">
        <f t="shared" si="1"/>
        <v>45878</v>
      </c>
      <c r="G218" s="8">
        <v>86.0</v>
      </c>
      <c r="H218" s="8">
        <v>66.0</v>
      </c>
      <c r="I218" s="8">
        <v>75.0</v>
      </c>
      <c r="J218" s="11">
        <f>G218*Scoring_Weights!B$2+H218*Scoring_Weights!B$3+I218*Scoring_Weights!B$4</f>
        <v>73.5</v>
      </c>
      <c r="K218" s="12">
        <v>0.91</v>
      </c>
      <c r="L218" s="8">
        <v>0.95</v>
      </c>
      <c r="M218" s="12">
        <f t="shared" si="2"/>
        <v>0.95</v>
      </c>
      <c r="N218" s="8" t="s">
        <v>272</v>
      </c>
      <c r="O218" s="13">
        <f>vlookup(N218,Interview_Slots!$A$1:$D$5,3,false)</f>
        <v>70</v>
      </c>
      <c r="P218" s="13">
        <f>vlookup(N218,Interview_Slots!$A$1:$D$5,4,false)</f>
        <v>80</v>
      </c>
      <c r="Q218" s="13" t="str">
        <f t="shared" si="3"/>
        <v>Eligible</v>
      </c>
      <c r="R218" s="7" t="s">
        <v>162</v>
      </c>
    </row>
    <row r="219" ht="15.75" customHeight="1">
      <c r="A219" s="8" t="s">
        <v>460</v>
      </c>
      <c r="B219" s="8" t="s">
        <v>461</v>
      </c>
      <c r="C219" s="8" t="s">
        <v>105</v>
      </c>
      <c r="D219" s="9" t="str">
        <f>vlookup(C219,Dept_Lookup!A$1:B$17,2,false)</f>
        <v>Civil</v>
      </c>
      <c r="E219" s="9">
        <v>45879.0</v>
      </c>
      <c r="F219" s="10">
        <f t="shared" si="1"/>
        <v>45879</v>
      </c>
      <c r="G219" s="8">
        <v>60.0</v>
      </c>
      <c r="H219" s="8">
        <v>88.0</v>
      </c>
      <c r="I219" s="8">
        <v>67.0</v>
      </c>
      <c r="J219" s="11">
        <f>G219*Scoring_Weights!B$2+H219*Scoring_Weights!B$3+I219*Scoring_Weights!B$4</f>
        <v>73.3</v>
      </c>
      <c r="K219" s="12">
        <v>0.8</v>
      </c>
      <c r="L219" s="8">
        <v>0.81</v>
      </c>
      <c r="M219" s="12">
        <f t="shared" si="2"/>
        <v>0.81</v>
      </c>
      <c r="N219" s="8" t="s">
        <v>272</v>
      </c>
      <c r="O219" s="13">
        <f>vlookup(N219,Interview_Slots!$A$1:$D$5,3,false)</f>
        <v>70</v>
      </c>
      <c r="P219" s="13">
        <f>vlookup(N219,Interview_Slots!$A$1:$D$5,4,false)</f>
        <v>80</v>
      </c>
      <c r="Q219" s="13" t="str">
        <f t="shared" si="3"/>
        <v>Eligible</v>
      </c>
      <c r="R219" s="7" t="s">
        <v>162</v>
      </c>
    </row>
    <row r="220" ht="15.75" customHeight="1">
      <c r="A220" s="8" t="s">
        <v>462</v>
      </c>
      <c r="B220" s="8" t="s">
        <v>463</v>
      </c>
      <c r="C220" s="8" t="s">
        <v>50</v>
      </c>
      <c r="D220" s="9" t="str">
        <f>vlookup(C220,Dept_Lookup!A$1:B$17,2,false)</f>
        <v>Electronics</v>
      </c>
      <c r="E220" s="8" t="s">
        <v>92</v>
      </c>
      <c r="F220" s="10">
        <f t="shared" si="1"/>
        <v>45898</v>
      </c>
      <c r="G220" s="8">
        <v>63.0</v>
      </c>
      <c r="H220" s="8">
        <v>58.0</v>
      </c>
      <c r="I220" s="8">
        <v>87.0</v>
      </c>
      <c r="J220" s="11">
        <f>G220*Scoring_Weights!B$2+H220*Scoring_Weights!B$3+I220*Scoring_Weights!B$4</f>
        <v>73.25</v>
      </c>
      <c r="K220" s="12">
        <v>0.93</v>
      </c>
      <c r="L220" s="8">
        <v>0.8</v>
      </c>
      <c r="M220" s="12">
        <f t="shared" si="2"/>
        <v>0.8</v>
      </c>
      <c r="N220" s="8" t="s">
        <v>272</v>
      </c>
      <c r="O220" s="13">
        <f>vlookup(N220,Interview_Slots!$A$1:$D$5,3,false)</f>
        <v>70</v>
      </c>
      <c r="P220" s="13">
        <f>vlookup(N220,Interview_Slots!$A$1:$D$5,4,false)</f>
        <v>80</v>
      </c>
      <c r="Q220" s="13" t="str">
        <f t="shared" si="3"/>
        <v>Eligible</v>
      </c>
      <c r="R220" s="7" t="s">
        <v>162</v>
      </c>
    </row>
    <row r="221" ht="15.75" customHeight="1">
      <c r="A221" s="8" t="s">
        <v>464</v>
      </c>
      <c r="B221" s="8" t="s">
        <v>465</v>
      </c>
      <c r="C221" s="8" t="s">
        <v>20</v>
      </c>
      <c r="D221" s="9" t="str">
        <f>vlookup(C221,Dept_Lookup!A$1:B$17,2,false)</f>
        <v>Electronics</v>
      </c>
      <c r="E221" s="14">
        <v>45913.0</v>
      </c>
      <c r="F221" s="10">
        <f t="shared" si="1"/>
        <v>45913</v>
      </c>
      <c r="G221" s="8">
        <v>69.0</v>
      </c>
      <c r="H221" s="8">
        <v>65.0</v>
      </c>
      <c r="I221" s="8">
        <v>80.0</v>
      </c>
      <c r="J221" s="11">
        <f>G221*Scoring_Weights!B$2+H221*Scoring_Weights!B$3+I221*Scoring_Weights!B$4</f>
        <v>73.1</v>
      </c>
      <c r="K221" s="12">
        <v>0.81</v>
      </c>
      <c r="L221" s="8">
        <v>0.82</v>
      </c>
      <c r="M221" s="12">
        <f t="shared" si="2"/>
        <v>0.82</v>
      </c>
      <c r="N221" s="8" t="s">
        <v>272</v>
      </c>
      <c r="O221" s="13">
        <f>vlookup(N221,Interview_Slots!$A$1:$D$5,3,false)</f>
        <v>70</v>
      </c>
      <c r="P221" s="13">
        <f>vlookup(N221,Interview_Slots!$A$1:$D$5,4,false)</f>
        <v>80</v>
      </c>
      <c r="Q221" s="13" t="str">
        <f t="shared" si="3"/>
        <v>Eligible</v>
      </c>
      <c r="R221" s="7" t="s">
        <v>162</v>
      </c>
    </row>
    <row r="222" ht="15.75" customHeight="1">
      <c r="A222" s="8" t="s">
        <v>466</v>
      </c>
      <c r="B222" s="8" t="s">
        <v>467</v>
      </c>
      <c r="C222" s="8" t="s">
        <v>20</v>
      </c>
      <c r="D222" s="9" t="str">
        <f>vlookup(C222,Dept_Lookup!A$1:B$17,2,false)</f>
        <v>Electronics</v>
      </c>
      <c r="E222" s="14">
        <v>45900.0</v>
      </c>
      <c r="F222" s="10">
        <f t="shared" si="1"/>
        <v>45900</v>
      </c>
      <c r="G222" s="8">
        <v>98.0</v>
      </c>
      <c r="H222" s="8">
        <v>64.0</v>
      </c>
      <c r="I222" s="8">
        <v>71.0</v>
      </c>
      <c r="J222" s="11">
        <f>G222*Scoring_Weights!B$2+H222*Scoring_Weights!B$3+I222*Scoring_Weights!B$4</f>
        <v>72.6</v>
      </c>
      <c r="K222" s="12">
        <v>0.95</v>
      </c>
      <c r="L222" s="12">
        <v>1.0</v>
      </c>
      <c r="M222" s="12">
        <f t="shared" si="2"/>
        <v>1</v>
      </c>
      <c r="N222" s="8" t="s">
        <v>272</v>
      </c>
      <c r="O222" s="13">
        <f>vlookup(N222,Interview_Slots!$A$1:$D$5,3,false)</f>
        <v>70</v>
      </c>
      <c r="P222" s="13">
        <f>vlookup(N222,Interview_Slots!$A$1:$D$5,4,false)</f>
        <v>80</v>
      </c>
      <c r="Q222" s="13" t="str">
        <f t="shared" si="3"/>
        <v>Eligible</v>
      </c>
      <c r="R222" s="7" t="s">
        <v>162</v>
      </c>
    </row>
    <row r="223" ht="15.75" customHeight="1">
      <c r="A223" s="8" t="s">
        <v>468</v>
      </c>
      <c r="B223" s="8" t="s">
        <v>469</v>
      </c>
      <c r="C223" s="8" t="s">
        <v>35</v>
      </c>
      <c r="D223" s="9" t="str">
        <f>vlookup(C223,Dept_Lookup!A$1:B$17,2,false)</f>
        <v>Electronics</v>
      </c>
      <c r="E223" s="14">
        <v>45887.0</v>
      </c>
      <c r="F223" s="10">
        <f t="shared" si="1"/>
        <v>45887</v>
      </c>
      <c r="G223" s="8">
        <v>98.0</v>
      </c>
      <c r="H223" s="8">
        <v>64.0</v>
      </c>
      <c r="I223" s="8">
        <v>71.0</v>
      </c>
      <c r="J223" s="11">
        <f>G223*Scoring_Weights!B$2+H223*Scoring_Weights!B$3+I223*Scoring_Weights!B$4</f>
        <v>72.6</v>
      </c>
      <c r="K223" s="12">
        <v>0.95</v>
      </c>
      <c r="L223" s="12">
        <v>1.0</v>
      </c>
      <c r="M223" s="12">
        <f t="shared" si="2"/>
        <v>1</v>
      </c>
      <c r="N223" s="8" t="s">
        <v>272</v>
      </c>
      <c r="O223" s="13">
        <f>vlookup(N223,Interview_Slots!$A$1:$D$5,3,false)</f>
        <v>70</v>
      </c>
      <c r="P223" s="13">
        <f>vlookup(N223,Interview_Slots!$A$1:$D$5,4,false)</f>
        <v>80</v>
      </c>
      <c r="Q223" s="13" t="str">
        <f t="shared" si="3"/>
        <v>Eligible</v>
      </c>
      <c r="R223" s="7" t="s">
        <v>162</v>
      </c>
    </row>
    <row r="224" ht="15.75" hidden="1" customHeight="1">
      <c r="A224" s="8" t="s">
        <v>470</v>
      </c>
      <c r="B224" s="8" t="s">
        <v>281</v>
      </c>
      <c r="C224" s="8" t="s">
        <v>38</v>
      </c>
      <c r="D224" s="9" t="str">
        <f>vlookup(C224,Dept_Lookup!A$1:B$17,2,false)</f>
        <v>Mechanical</v>
      </c>
      <c r="E224" s="14">
        <v>45900.0</v>
      </c>
      <c r="F224" s="10">
        <f t="shared" si="1"/>
        <v>45900</v>
      </c>
      <c r="G224" s="8">
        <v>86.0</v>
      </c>
      <c r="H224" s="8">
        <v>86.0</v>
      </c>
      <c r="I224" s="8">
        <v>59.0</v>
      </c>
      <c r="J224" s="11">
        <f>G224*Scoring_Weights!B$2+H224*Scoring_Weights!B$3+I224*Scoring_Weights!B$4</f>
        <v>72.5</v>
      </c>
      <c r="K224" s="12">
        <v>0.79</v>
      </c>
      <c r="L224" s="12">
        <v>0.98</v>
      </c>
      <c r="M224" s="12">
        <f t="shared" si="2"/>
        <v>0.98</v>
      </c>
      <c r="N224" s="8" t="s">
        <v>272</v>
      </c>
      <c r="O224" s="13">
        <f>vlookup(N224,Interview_Slots!$A$1:$D$5,3,false)</f>
        <v>70</v>
      </c>
      <c r="P224" s="13">
        <f>vlookup(N224,Interview_Slots!$A$1:$D$5,4,false)</f>
        <v>80</v>
      </c>
      <c r="Q224" s="13" t="str">
        <f t="shared" si="3"/>
        <v>Not Eligible</v>
      </c>
    </row>
    <row r="225" ht="15.75" customHeight="1">
      <c r="A225" s="8" t="s">
        <v>471</v>
      </c>
      <c r="B225" s="8" t="s">
        <v>472</v>
      </c>
      <c r="C225" s="8" t="s">
        <v>38</v>
      </c>
      <c r="D225" s="9" t="str">
        <f>vlookup(C225,Dept_Lookup!A$1:B$17,2,false)</f>
        <v>Mechanical</v>
      </c>
      <c r="E225" s="14">
        <v>45913.0</v>
      </c>
      <c r="F225" s="10">
        <f t="shared" si="1"/>
        <v>45913</v>
      </c>
      <c r="G225" s="8">
        <v>93.0</v>
      </c>
      <c r="H225" s="8">
        <v>78.0</v>
      </c>
      <c r="I225" s="8">
        <v>62.0</v>
      </c>
      <c r="J225" s="11">
        <f>G225*Scoring_Weights!B$2+H225*Scoring_Weights!B$3+I225*Scoring_Weights!B$4</f>
        <v>72.25</v>
      </c>
      <c r="K225" s="12">
        <v>0.85</v>
      </c>
      <c r="L225" s="12">
        <v>0.96</v>
      </c>
      <c r="M225" s="12">
        <f t="shared" si="2"/>
        <v>0.96</v>
      </c>
      <c r="N225" s="8" t="s">
        <v>272</v>
      </c>
      <c r="O225" s="13">
        <f>vlookup(N225,Interview_Slots!$A$1:$D$5,3,false)</f>
        <v>70</v>
      </c>
      <c r="P225" s="13">
        <f>vlookup(N225,Interview_Slots!$A$1:$D$5,4,false)</f>
        <v>80</v>
      </c>
      <c r="Q225" s="13" t="str">
        <f t="shared" si="3"/>
        <v>Eligible</v>
      </c>
      <c r="R225" s="7" t="s">
        <v>162</v>
      </c>
    </row>
    <row r="226" ht="15.75" hidden="1" customHeight="1">
      <c r="A226" s="8" t="s">
        <v>473</v>
      </c>
      <c r="B226" s="8" t="s">
        <v>474</v>
      </c>
      <c r="C226" s="8" t="s">
        <v>28</v>
      </c>
      <c r="D226" s="9" t="str">
        <f>vlookup(C226,Dept_Lookup!A$1:B$17,2,false)</f>
        <v>Electronics</v>
      </c>
      <c r="E226" s="14">
        <v>45871.0</v>
      </c>
      <c r="F226" s="10">
        <f t="shared" si="1"/>
        <v>45871</v>
      </c>
      <c r="G226" s="8">
        <v>55.0</v>
      </c>
      <c r="H226" s="8">
        <v>80.0</v>
      </c>
      <c r="I226" s="8">
        <v>72.0</v>
      </c>
      <c r="J226" s="11">
        <f>G226*Scoring_Weights!B$2+H226*Scoring_Weights!B$3+I226*Scoring_Weights!B$4</f>
        <v>72.25</v>
      </c>
      <c r="K226" s="12">
        <v>0.77</v>
      </c>
      <c r="L226" s="8">
        <v>0.82</v>
      </c>
      <c r="M226" s="12">
        <f t="shared" si="2"/>
        <v>0.82</v>
      </c>
      <c r="N226" s="8" t="s">
        <v>272</v>
      </c>
      <c r="O226" s="13">
        <f>vlookup(N226,Interview_Slots!$A$1:$D$5,3,false)</f>
        <v>70</v>
      </c>
      <c r="P226" s="13">
        <f>vlookup(N226,Interview_Slots!$A$1:$D$5,4,false)</f>
        <v>80</v>
      </c>
      <c r="Q226" s="13" t="str">
        <f t="shared" si="3"/>
        <v>Not Eligible</v>
      </c>
    </row>
    <row r="227" ht="15.75" customHeight="1">
      <c r="A227" s="8" t="s">
        <v>475</v>
      </c>
      <c r="B227" s="8" t="s">
        <v>476</v>
      </c>
      <c r="C227" s="8" t="s">
        <v>72</v>
      </c>
      <c r="D227" s="9" t="str">
        <f>vlookup(C227,Dept_Lookup!A$1:B$17,2,false)</f>
        <v>Mechanical</v>
      </c>
      <c r="E227" s="14">
        <v>45913.0</v>
      </c>
      <c r="F227" s="10">
        <f t="shared" si="1"/>
        <v>45913</v>
      </c>
      <c r="G227" s="8">
        <v>61.0</v>
      </c>
      <c r="H227" s="8">
        <v>60.0</v>
      </c>
      <c r="I227" s="8">
        <v>84.0</v>
      </c>
      <c r="J227" s="11">
        <f>G227*Scoring_Weights!B$2+H227*Scoring_Weights!B$3+I227*Scoring_Weights!B$4</f>
        <v>72.15</v>
      </c>
      <c r="K227" s="12">
        <v>0.86</v>
      </c>
      <c r="L227" s="8">
        <v>0.82</v>
      </c>
      <c r="M227" s="12">
        <f t="shared" si="2"/>
        <v>0.82</v>
      </c>
      <c r="N227" s="8" t="s">
        <v>272</v>
      </c>
      <c r="O227" s="13">
        <f>vlookup(N227,Interview_Slots!$A$1:$D$5,3,false)</f>
        <v>70</v>
      </c>
      <c r="P227" s="13">
        <f>vlookup(N227,Interview_Slots!$A$1:$D$5,4,false)</f>
        <v>80</v>
      </c>
      <c r="Q227" s="13" t="str">
        <f t="shared" si="3"/>
        <v>Eligible</v>
      </c>
      <c r="R227" s="7" t="s">
        <v>162</v>
      </c>
    </row>
    <row r="228" ht="15.75" hidden="1" customHeight="1">
      <c r="A228" s="8" t="s">
        <v>477</v>
      </c>
      <c r="B228" s="8" t="s">
        <v>478</v>
      </c>
      <c r="C228" s="8" t="s">
        <v>50</v>
      </c>
      <c r="D228" s="9" t="str">
        <f>vlookup(C228,Dept_Lookup!A$1:B$17,2,false)</f>
        <v>Electronics</v>
      </c>
      <c r="E228" s="14">
        <v>45913.0</v>
      </c>
      <c r="F228" s="10">
        <f t="shared" si="1"/>
        <v>45913</v>
      </c>
      <c r="G228" s="8">
        <v>78.0</v>
      </c>
      <c r="H228" s="8">
        <v>57.0</v>
      </c>
      <c r="I228" s="8">
        <v>80.0</v>
      </c>
      <c r="J228" s="11">
        <f>G228*Scoring_Weights!B$2+H228*Scoring_Weights!B$3+I228*Scoring_Weights!B$4</f>
        <v>71.65</v>
      </c>
      <c r="K228" s="12">
        <v>0.76</v>
      </c>
      <c r="L228" s="12">
        <v>0.73</v>
      </c>
      <c r="M228" s="12">
        <f t="shared" si="2"/>
        <v>0.73</v>
      </c>
      <c r="N228" s="8" t="s">
        <v>272</v>
      </c>
      <c r="O228" s="13">
        <f>vlookup(N228,Interview_Slots!$A$1:$D$5,3,false)</f>
        <v>70</v>
      </c>
      <c r="P228" s="13">
        <f>vlookup(N228,Interview_Slots!$A$1:$D$5,4,false)</f>
        <v>80</v>
      </c>
      <c r="Q228" s="13" t="str">
        <f t="shared" si="3"/>
        <v>Not Eligible</v>
      </c>
    </row>
    <row r="229" ht="15.75" customHeight="1">
      <c r="A229" s="8" t="s">
        <v>479</v>
      </c>
      <c r="B229" s="8" t="s">
        <v>480</v>
      </c>
      <c r="C229" s="8" t="s">
        <v>28</v>
      </c>
      <c r="D229" s="9" t="str">
        <f>vlookup(C229,Dept_Lookup!A$1:B$17,2,false)</f>
        <v>Electronics</v>
      </c>
      <c r="E229" s="14">
        <v>45865.0</v>
      </c>
      <c r="F229" s="10">
        <f t="shared" si="1"/>
        <v>45865</v>
      </c>
      <c r="G229" s="8">
        <v>80.0</v>
      </c>
      <c r="H229" s="8">
        <v>64.0</v>
      </c>
      <c r="I229" s="8">
        <v>74.0</v>
      </c>
      <c r="J229" s="11">
        <f>G229*Scoring_Weights!B$2+H229*Scoring_Weights!B$3+I229*Scoring_Weights!B$4</f>
        <v>71.4</v>
      </c>
      <c r="K229" s="12">
        <v>0.86</v>
      </c>
      <c r="L229" s="8">
        <v>0.9</v>
      </c>
      <c r="M229" s="12">
        <f t="shared" si="2"/>
        <v>0.9</v>
      </c>
      <c r="N229" s="8" t="s">
        <v>272</v>
      </c>
      <c r="O229" s="13">
        <f>vlookup(N229,Interview_Slots!$A$1:$D$5,3,false)</f>
        <v>70</v>
      </c>
      <c r="P229" s="13">
        <f>vlookup(N229,Interview_Slots!$A$1:$D$5,4,false)</f>
        <v>80</v>
      </c>
      <c r="Q229" s="13" t="str">
        <f t="shared" si="3"/>
        <v>Eligible</v>
      </c>
      <c r="R229" s="7" t="s">
        <v>162</v>
      </c>
    </row>
    <row r="230" ht="15.75" customHeight="1">
      <c r="A230" s="8" t="s">
        <v>481</v>
      </c>
      <c r="B230" s="8" t="s">
        <v>482</v>
      </c>
      <c r="C230" s="8" t="s">
        <v>41</v>
      </c>
      <c r="D230" s="9" t="str">
        <f>vlookup(C230,Dept_Lookup!A$1:B$17,2,false)</f>
        <v>Mechanical</v>
      </c>
      <c r="E230" s="14">
        <v>45854.0</v>
      </c>
      <c r="F230" s="10">
        <f t="shared" si="1"/>
        <v>45854</v>
      </c>
      <c r="G230" s="8">
        <v>96.0</v>
      </c>
      <c r="H230" s="8">
        <v>84.0</v>
      </c>
      <c r="I230" s="8">
        <v>55.0</v>
      </c>
      <c r="J230" s="11">
        <f>G230*Scoring_Weights!B$2+H230*Scoring_Weights!B$3+I230*Scoring_Weights!B$4</f>
        <v>71.3</v>
      </c>
      <c r="K230" s="12">
        <v>0.93</v>
      </c>
      <c r="L230" s="8">
        <v>0.8</v>
      </c>
      <c r="M230" s="12">
        <f t="shared" si="2"/>
        <v>0.8</v>
      </c>
      <c r="N230" s="8" t="s">
        <v>272</v>
      </c>
      <c r="O230" s="13">
        <f>vlookup(N230,Interview_Slots!$A$1:$D$5,3,false)</f>
        <v>70</v>
      </c>
      <c r="P230" s="13">
        <f>vlookup(N230,Interview_Slots!$A$1:$D$5,4,false)</f>
        <v>80</v>
      </c>
      <c r="Q230" s="13" t="str">
        <f t="shared" si="3"/>
        <v>Eligible</v>
      </c>
      <c r="R230" s="7" t="s">
        <v>162</v>
      </c>
    </row>
    <row r="231" ht="15.75" customHeight="1">
      <c r="A231" s="8" t="s">
        <v>483</v>
      </c>
      <c r="B231" s="8" t="s">
        <v>484</v>
      </c>
      <c r="C231" s="8" t="s">
        <v>102</v>
      </c>
      <c r="D231" s="9" t="str">
        <f>vlookup(C231,Dept_Lookup!A$1:B$17,2,false)</f>
        <v>Computer Science</v>
      </c>
      <c r="E231" s="16">
        <v>45816.0</v>
      </c>
      <c r="F231" s="10">
        <f t="shared" si="1"/>
        <v>45816</v>
      </c>
      <c r="G231" s="8">
        <v>66.0</v>
      </c>
      <c r="H231" s="8">
        <v>75.0</v>
      </c>
      <c r="I231" s="8">
        <v>70.0</v>
      </c>
      <c r="J231" s="11">
        <f>G231*Scoring_Weights!B$2+H231*Scoring_Weights!B$3+I231*Scoring_Weights!B$4</f>
        <v>71.15</v>
      </c>
      <c r="K231" s="12">
        <v>0.86</v>
      </c>
      <c r="L231" s="15">
        <v>0.82</v>
      </c>
      <c r="M231" s="12">
        <f t="shared" si="2"/>
        <v>0.82</v>
      </c>
      <c r="N231" s="8" t="s">
        <v>272</v>
      </c>
      <c r="O231" s="13">
        <f>vlookup(N231,Interview_Slots!$A$1:$D$5,3,false)</f>
        <v>70</v>
      </c>
      <c r="P231" s="13">
        <f>vlookup(N231,Interview_Slots!$A$1:$D$5,4,false)</f>
        <v>80</v>
      </c>
      <c r="Q231" s="13" t="str">
        <f t="shared" si="3"/>
        <v>Eligible</v>
      </c>
      <c r="R231" s="7" t="s">
        <v>162</v>
      </c>
    </row>
    <row r="232" ht="15.75" customHeight="1">
      <c r="A232" s="8" t="s">
        <v>485</v>
      </c>
      <c r="B232" s="8" t="s">
        <v>486</v>
      </c>
      <c r="C232" s="8" t="s">
        <v>41</v>
      </c>
      <c r="D232" s="9" t="str">
        <f>vlookup(C232,Dept_Lookup!A$1:B$17,2,false)</f>
        <v>Mechanical</v>
      </c>
      <c r="E232" s="14">
        <v>45913.0</v>
      </c>
      <c r="F232" s="10">
        <f t="shared" si="1"/>
        <v>45913</v>
      </c>
      <c r="G232" s="8">
        <v>95.0</v>
      </c>
      <c r="H232" s="8">
        <v>78.0</v>
      </c>
      <c r="I232" s="8">
        <v>59.0</v>
      </c>
      <c r="J232" s="11">
        <f>G232*Scoring_Weights!B$2+H232*Scoring_Weights!B$3+I232*Scoring_Weights!B$4</f>
        <v>71.05</v>
      </c>
      <c r="K232" s="12">
        <v>0.91</v>
      </c>
      <c r="L232" s="8">
        <v>0.79</v>
      </c>
      <c r="M232" s="12">
        <f t="shared" si="2"/>
        <v>0.79</v>
      </c>
      <c r="N232" s="8" t="s">
        <v>272</v>
      </c>
      <c r="O232" s="13">
        <f>vlookup(N232,Interview_Slots!$A$1:$D$5,3,false)</f>
        <v>70</v>
      </c>
      <c r="P232" s="13">
        <f>vlookup(N232,Interview_Slots!$A$1:$D$5,4,false)</f>
        <v>80</v>
      </c>
      <c r="Q232" s="13" t="str">
        <f t="shared" si="3"/>
        <v>Eligible</v>
      </c>
      <c r="R232" s="7" t="s">
        <v>162</v>
      </c>
    </row>
    <row r="233" ht="15.75" customHeight="1">
      <c r="A233" s="8" t="s">
        <v>487</v>
      </c>
      <c r="B233" s="8" t="s">
        <v>488</v>
      </c>
      <c r="C233" s="8" t="s">
        <v>28</v>
      </c>
      <c r="D233" s="9" t="str">
        <f>vlookup(C233,Dept_Lookup!A$1:B$17,2,false)</f>
        <v>Electronics</v>
      </c>
      <c r="E233" s="14">
        <v>45842.0</v>
      </c>
      <c r="F233" s="10">
        <f t="shared" si="1"/>
        <v>45842</v>
      </c>
      <c r="G233" s="8">
        <v>60.0</v>
      </c>
      <c r="H233" s="8">
        <v>78.0</v>
      </c>
      <c r="I233" s="8">
        <v>69.0</v>
      </c>
      <c r="J233" s="11">
        <f>G233*Scoring_Weights!B$2+H233*Scoring_Weights!B$3+I233*Scoring_Weights!B$4</f>
        <v>70.8</v>
      </c>
      <c r="K233" s="12">
        <v>0.86</v>
      </c>
      <c r="L233" s="8">
        <v>0.86</v>
      </c>
      <c r="M233" s="12">
        <f t="shared" si="2"/>
        <v>0.86</v>
      </c>
      <c r="N233" s="8" t="s">
        <v>272</v>
      </c>
      <c r="O233" s="13">
        <f>vlookup(N233,Interview_Slots!$A$1:$D$5,3,false)</f>
        <v>70</v>
      </c>
      <c r="P233" s="13">
        <f>vlookup(N233,Interview_Slots!$A$1:$D$5,4,false)</f>
        <v>80</v>
      </c>
      <c r="Q233" s="13" t="str">
        <f t="shared" si="3"/>
        <v>Eligible</v>
      </c>
      <c r="R233" s="7" t="s">
        <v>162</v>
      </c>
    </row>
    <row r="234" ht="15.75" hidden="1" customHeight="1">
      <c r="A234" s="8" t="s">
        <v>489</v>
      </c>
      <c r="B234" s="8" t="s">
        <v>490</v>
      </c>
      <c r="C234" s="8" t="s">
        <v>28</v>
      </c>
      <c r="D234" s="9" t="str">
        <f>vlookup(C234,Dept_Lookup!A$1:B$17,2,false)</f>
        <v>Electronics</v>
      </c>
      <c r="E234" s="14">
        <v>45880.0</v>
      </c>
      <c r="F234" s="10">
        <f t="shared" si="1"/>
        <v>45880</v>
      </c>
      <c r="G234" s="8">
        <v>77.0</v>
      </c>
      <c r="H234" s="8">
        <v>79.0</v>
      </c>
      <c r="I234" s="8">
        <v>63.0</v>
      </c>
      <c r="J234" s="11">
        <f>G234*Scoring_Weights!B$2+H234*Scoring_Weights!B$3+I234*Scoring_Weights!B$4</f>
        <v>70.7</v>
      </c>
      <c r="K234" s="12">
        <v>0.75</v>
      </c>
      <c r="L234" s="12">
        <v>0.96</v>
      </c>
      <c r="M234" s="12">
        <f t="shared" si="2"/>
        <v>0.96</v>
      </c>
      <c r="N234" s="8" t="s">
        <v>272</v>
      </c>
      <c r="O234" s="13">
        <f>vlookup(N234,Interview_Slots!$A$1:$D$5,3,false)</f>
        <v>70</v>
      </c>
      <c r="P234" s="13">
        <f>vlookup(N234,Interview_Slots!$A$1:$D$5,4,false)</f>
        <v>80</v>
      </c>
      <c r="Q234" s="13" t="str">
        <f t="shared" si="3"/>
        <v>Not Eligible</v>
      </c>
    </row>
    <row r="235" ht="15.75" customHeight="1">
      <c r="A235" s="8" t="s">
        <v>491</v>
      </c>
      <c r="B235" s="8" t="s">
        <v>492</v>
      </c>
      <c r="C235" s="8" t="s">
        <v>50</v>
      </c>
      <c r="D235" s="9" t="str">
        <f>vlookup(C235,Dept_Lookup!A$1:B$17,2,false)</f>
        <v>Electronics</v>
      </c>
      <c r="E235" s="9">
        <v>45887.0</v>
      </c>
      <c r="F235" s="10">
        <f t="shared" si="1"/>
        <v>45887</v>
      </c>
      <c r="G235" s="8">
        <v>59.0</v>
      </c>
      <c r="H235" s="8">
        <v>93.0</v>
      </c>
      <c r="I235" s="8">
        <v>58.0</v>
      </c>
      <c r="J235" s="11">
        <f>G235*Scoring_Weights!B$2+H235*Scoring_Weights!B$3+I235*Scoring_Weights!B$4</f>
        <v>70.4</v>
      </c>
      <c r="K235" s="12">
        <v>0.85</v>
      </c>
      <c r="L235" s="8">
        <v>0.84</v>
      </c>
      <c r="M235" s="12">
        <f t="shared" si="2"/>
        <v>0.84</v>
      </c>
      <c r="N235" s="8" t="s">
        <v>272</v>
      </c>
      <c r="O235" s="13">
        <f>vlookup(N235,Interview_Slots!$A$1:$D$5,3,false)</f>
        <v>70</v>
      </c>
      <c r="P235" s="13">
        <f>vlookup(N235,Interview_Slots!$A$1:$D$5,4,false)</f>
        <v>80</v>
      </c>
      <c r="Q235" s="13" t="str">
        <f t="shared" si="3"/>
        <v>Eligible</v>
      </c>
      <c r="R235" s="7" t="s">
        <v>162</v>
      </c>
    </row>
    <row r="236" ht="15.75" hidden="1" customHeight="1">
      <c r="A236" s="8" t="s">
        <v>493</v>
      </c>
      <c r="B236" s="8" t="s">
        <v>494</v>
      </c>
      <c r="C236" s="8" t="s">
        <v>105</v>
      </c>
      <c r="D236" s="9" t="str">
        <f>vlookup(C236,Dept_Lookup!A$1:B$17,2,false)</f>
        <v>Civil</v>
      </c>
      <c r="E236" s="9">
        <v>45887.0</v>
      </c>
      <c r="F236" s="10">
        <f t="shared" si="1"/>
        <v>45887</v>
      </c>
      <c r="G236" s="8">
        <v>72.0</v>
      </c>
      <c r="H236" s="8">
        <v>82.0</v>
      </c>
      <c r="I236" s="8">
        <v>61.0</v>
      </c>
      <c r="J236" s="11">
        <f>G236*Scoring_Weights!B$2+H236*Scoring_Weights!B$3+I236*Scoring_Weights!B$4</f>
        <v>70</v>
      </c>
      <c r="K236" s="12">
        <v>0.75</v>
      </c>
      <c r="L236" s="8">
        <v>0.94</v>
      </c>
      <c r="M236" s="12">
        <f t="shared" si="2"/>
        <v>0.94</v>
      </c>
      <c r="N236" s="8" t="s">
        <v>272</v>
      </c>
      <c r="O236" s="13">
        <f>vlookup(N236,Interview_Slots!$A$1:$D$5,3,false)</f>
        <v>70</v>
      </c>
      <c r="P236" s="13">
        <f>vlookup(N236,Interview_Slots!$A$1:$D$5,4,false)</f>
        <v>80</v>
      </c>
      <c r="Q236" s="13" t="str">
        <f t="shared" si="3"/>
        <v>Not Eligible</v>
      </c>
    </row>
    <row r="237" ht="15.75" hidden="1" customHeight="1">
      <c r="A237" s="8" t="s">
        <v>495</v>
      </c>
      <c r="B237" s="8" t="s">
        <v>496</v>
      </c>
      <c r="C237" s="8" t="s">
        <v>41</v>
      </c>
      <c r="D237" s="9" t="str">
        <f>vlookup(C237,Dept_Lookup!A$1:B$17,2,false)</f>
        <v>Mechanical</v>
      </c>
      <c r="E237" s="14">
        <v>45900.0</v>
      </c>
      <c r="F237" s="10">
        <f t="shared" si="1"/>
        <v>45900</v>
      </c>
      <c r="G237" s="8">
        <v>82.0</v>
      </c>
      <c r="H237" s="8">
        <v>77.0</v>
      </c>
      <c r="I237" s="8">
        <v>61.0</v>
      </c>
      <c r="J237" s="11">
        <f>G237*Scoring_Weights!B$2+H237*Scoring_Weights!B$3+I237*Scoring_Weights!B$4</f>
        <v>69.75</v>
      </c>
      <c r="K237" s="12">
        <v>0.79</v>
      </c>
      <c r="L237" s="8">
        <v>0.91</v>
      </c>
      <c r="M237" s="12">
        <f t="shared" si="2"/>
        <v>0.91</v>
      </c>
      <c r="N237" s="8" t="s">
        <v>272</v>
      </c>
      <c r="O237" s="13">
        <f>vlookup(N237,Interview_Slots!$A$1:$D$5,3,false)</f>
        <v>70</v>
      </c>
      <c r="P237" s="13">
        <f>vlookup(N237,Interview_Slots!$A$1:$D$5,4,false)</f>
        <v>80</v>
      </c>
      <c r="Q237" s="13" t="str">
        <f t="shared" si="3"/>
        <v>Not Eligible</v>
      </c>
    </row>
    <row r="238" ht="15.75" hidden="1" customHeight="1">
      <c r="A238" s="8" t="s">
        <v>497</v>
      </c>
      <c r="B238" s="8" t="s">
        <v>498</v>
      </c>
      <c r="C238" s="8" t="s">
        <v>83</v>
      </c>
      <c r="D238" s="9" t="str">
        <f>vlookup(C238,Dept_Lookup!A$1:B$17,2,false)</f>
        <v>Civil</v>
      </c>
      <c r="E238" s="14">
        <v>45880.0</v>
      </c>
      <c r="F238" s="10">
        <f t="shared" si="1"/>
        <v>45880</v>
      </c>
      <c r="G238" s="8">
        <v>96.0</v>
      </c>
      <c r="H238" s="8">
        <v>61.0</v>
      </c>
      <c r="I238" s="8">
        <v>68.0</v>
      </c>
      <c r="J238" s="11">
        <f>G238*Scoring_Weights!B$2+H238*Scoring_Weights!B$3+I238*Scoring_Weights!B$4</f>
        <v>69.75</v>
      </c>
      <c r="K238" s="12">
        <v>0.86</v>
      </c>
      <c r="L238" s="8">
        <v>0.99</v>
      </c>
      <c r="M238" s="12">
        <f t="shared" si="2"/>
        <v>0.99</v>
      </c>
      <c r="N238" s="8" t="s">
        <v>272</v>
      </c>
      <c r="O238" s="13">
        <f>vlookup(N238,Interview_Slots!$A$1:$D$5,3,false)</f>
        <v>70</v>
      </c>
      <c r="P238" s="13">
        <f>vlookup(N238,Interview_Slots!$A$1:$D$5,4,false)</f>
        <v>80</v>
      </c>
      <c r="Q238" s="13" t="str">
        <f t="shared" si="3"/>
        <v>Not Eligible</v>
      </c>
    </row>
    <row r="239" ht="15.75" hidden="1" customHeight="1">
      <c r="A239" s="8" t="s">
        <v>499</v>
      </c>
      <c r="B239" s="8" t="s">
        <v>500</v>
      </c>
      <c r="C239" s="8" t="s">
        <v>35</v>
      </c>
      <c r="D239" s="9" t="str">
        <f>vlookup(C239,Dept_Lookup!A$1:B$17,2,false)</f>
        <v>Electronics</v>
      </c>
      <c r="E239" s="14">
        <v>45880.0</v>
      </c>
      <c r="F239" s="10">
        <f t="shared" si="1"/>
        <v>45880</v>
      </c>
      <c r="G239" s="8">
        <v>96.0</v>
      </c>
      <c r="H239" s="8">
        <v>70.0</v>
      </c>
      <c r="I239" s="8">
        <v>61.0</v>
      </c>
      <c r="J239" s="11">
        <f>G239*Scoring_Weights!B$2+H239*Scoring_Weights!B$3+I239*Scoring_Weights!B$4</f>
        <v>69.4</v>
      </c>
      <c r="K239" s="12">
        <v>0.75</v>
      </c>
      <c r="L239" s="8">
        <v>0.81</v>
      </c>
      <c r="M239" s="12">
        <f t="shared" si="2"/>
        <v>0.81</v>
      </c>
      <c r="N239" s="8" t="s">
        <v>272</v>
      </c>
      <c r="O239" s="13">
        <f>vlookup(N239,Interview_Slots!$A$1:$D$5,3,false)</f>
        <v>70</v>
      </c>
      <c r="P239" s="13">
        <f>vlookup(N239,Interview_Slots!$A$1:$D$5,4,false)</f>
        <v>80</v>
      </c>
      <c r="Q239" s="13" t="str">
        <f t="shared" si="3"/>
        <v>Not Eligible</v>
      </c>
    </row>
    <row r="240" ht="15.75" hidden="1" customHeight="1">
      <c r="A240" s="8" t="s">
        <v>501</v>
      </c>
      <c r="B240" s="8" t="s">
        <v>502</v>
      </c>
      <c r="C240" s="8" t="s">
        <v>57</v>
      </c>
      <c r="D240" s="9" t="str">
        <f>vlookup(C240,Dept_Lookup!A$1:B$17,2,false)</f>
        <v>Computer Science</v>
      </c>
      <c r="E240" s="14">
        <v>45877.0</v>
      </c>
      <c r="F240" s="10">
        <f t="shared" si="1"/>
        <v>45877</v>
      </c>
      <c r="G240" s="8">
        <v>55.0</v>
      </c>
      <c r="H240" s="8">
        <v>89.0</v>
      </c>
      <c r="I240" s="8">
        <v>60.0</v>
      </c>
      <c r="J240" s="11">
        <f>G240*Scoring_Weights!B$2+H240*Scoring_Weights!B$3+I240*Scoring_Weights!B$4</f>
        <v>69.4</v>
      </c>
      <c r="K240" s="12">
        <v>0.94</v>
      </c>
      <c r="L240" s="8">
        <v>0.83</v>
      </c>
      <c r="M240" s="12">
        <f t="shared" si="2"/>
        <v>0.83</v>
      </c>
      <c r="N240" s="8" t="s">
        <v>272</v>
      </c>
      <c r="O240" s="13">
        <f>vlookup(N240,Interview_Slots!$A$1:$D$5,3,false)</f>
        <v>70</v>
      </c>
      <c r="P240" s="13">
        <f>vlookup(N240,Interview_Slots!$A$1:$D$5,4,false)</f>
        <v>80</v>
      </c>
      <c r="Q240" s="13" t="str">
        <f t="shared" si="3"/>
        <v>Not Eligible</v>
      </c>
    </row>
    <row r="241" ht="15.75" hidden="1" customHeight="1">
      <c r="A241" s="8" t="s">
        <v>503</v>
      </c>
      <c r="B241" s="8" t="s">
        <v>504</v>
      </c>
      <c r="C241" s="8" t="s">
        <v>28</v>
      </c>
      <c r="D241" s="9" t="str">
        <f>vlookup(C241,Dept_Lookup!A$1:B$17,2,false)</f>
        <v>Electronics</v>
      </c>
      <c r="E241" s="8" t="s">
        <v>92</v>
      </c>
      <c r="F241" s="10">
        <f t="shared" si="1"/>
        <v>45898</v>
      </c>
      <c r="G241" s="8">
        <v>69.0</v>
      </c>
      <c r="H241" s="8">
        <v>78.0</v>
      </c>
      <c r="I241" s="8">
        <v>63.0</v>
      </c>
      <c r="J241" s="11">
        <f>G241*Scoring_Weights!B$2+H241*Scoring_Weights!B$3+I241*Scoring_Weights!B$4</f>
        <v>69.15</v>
      </c>
      <c r="K241" s="12">
        <v>0.8</v>
      </c>
      <c r="L241" s="8">
        <v>0.89</v>
      </c>
      <c r="M241" s="12">
        <f t="shared" si="2"/>
        <v>0.89</v>
      </c>
      <c r="N241" s="8" t="s">
        <v>272</v>
      </c>
      <c r="O241" s="13">
        <f>vlookup(N241,Interview_Slots!$A$1:$D$5,3,false)</f>
        <v>70</v>
      </c>
      <c r="P241" s="13">
        <f>vlookup(N241,Interview_Slots!$A$1:$D$5,4,false)</f>
        <v>80</v>
      </c>
      <c r="Q241" s="13" t="str">
        <f t="shared" si="3"/>
        <v>Not Eligible</v>
      </c>
    </row>
    <row r="242" ht="15.75" hidden="1" customHeight="1">
      <c r="A242" s="8" t="s">
        <v>505</v>
      </c>
      <c r="B242" s="8" t="s">
        <v>506</v>
      </c>
      <c r="C242" s="8" t="s">
        <v>83</v>
      </c>
      <c r="D242" s="9" t="str">
        <f>vlookup(C242,Dept_Lookup!A$1:B$17,2,false)</f>
        <v>Civil</v>
      </c>
      <c r="E242" s="9">
        <v>45893.0</v>
      </c>
      <c r="F242" s="10">
        <f t="shared" si="1"/>
        <v>45893</v>
      </c>
      <c r="G242" s="8">
        <v>75.0</v>
      </c>
      <c r="H242" s="8">
        <v>59.0</v>
      </c>
      <c r="I242" s="8">
        <v>74.0</v>
      </c>
      <c r="J242" s="11">
        <f>G242*Scoring_Weights!B$2+H242*Scoring_Weights!B$3+I242*Scoring_Weights!B$4</f>
        <v>68.9</v>
      </c>
      <c r="K242" s="12">
        <v>0.91</v>
      </c>
      <c r="L242" s="8">
        <v>0.87</v>
      </c>
      <c r="M242" s="12">
        <f t="shared" si="2"/>
        <v>0.87</v>
      </c>
      <c r="N242" s="8" t="s">
        <v>272</v>
      </c>
      <c r="O242" s="13">
        <f>vlookup(N242,Interview_Slots!$A$1:$D$5,3,false)</f>
        <v>70</v>
      </c>
      <c r="P242" s="13">
        <f>vlookup(N242,Interview_Slots!$A$1:$D$5,4,false)</f>
        <v>80</v>
      </c>
      <c r="Q242" s="13" t="str">
        <f t="shared" si="3"/>
        <v>Not Eligible</v>
      </c>
    </row>
    <row r="243" ht="15.75" hidden="1" customHeight="1">
      <c r="A243" s="8" t="s">
        <v>507</v>
      </c>
      <c r="B243" s="8" t="s">
        <v>508</v>
      </c>
      <c r="C243" s="8" t="s">
        <v>105</v>
      </c>
      <c r="D243" s="9" t="str">
        <f>vlookup(C243,Dept_Lookup!A$1:B$17,2,false)</f>
        <v>Civil</v>
      </c>
      <c r="E243" s="9">
        <v>45887.0</v>
      </c>
      <c r="F243" s="10">
        <f t="shared" si="1"/>
        <v>45887</v>
      </c>
      <c r="G243" s="8">
        <v>60.0</v>
      </c>
      <c r="H243" s="8">
        <v>82.0</v>
      </c>
      <c r="I243" s="8">
        <v>62.0</v>
      </c>
      <c r="J243" s="11">
        <f>G243*Scoring_Weights!B$2+H243*Scoring_Weights!B$3+I243*Scoring_Weights!B$4</f>
        <v>68.7</v>
      </c>
      <c r="K243" s="12">
        <v>0.77</v>
      </c>
      <c r="L243" s="8">
        <v>0.86</v>
      </c>
      <c r="M243" s="12">
        <f t="shared" si="2"/>
        <v>0.86</v>
      </c>
      <c r="N243" s="8" t="s">
        <v>272</v>
      </c>
      <c r="O243" s="13">
        <f>vlookup(N243,Interview_Slots!$A$1:$D$5,3,false)</f>
        <v>70</v>
      </c>
      <c r="P243" s="13">
        <f>vlookup(N243,Interview_Slots!$A$1:$D$5,4,false)</f>
        <v>80</v>
      </c>
      <c r="Q243" s="13" t="str">
        <f t="shared" si="3"/>
        <v>Not Eligible</v>
      </c>
    </row>
    <row r="244" ht="15.75" hidden="1" customHeight="1">
      <c r="A244" s="8" t="s">
        <v>509</v>
      </c>
      <c r="B244" s="8" t="s">
        <v>510</v>
      </c>
      <c r="C244" s="8" t="s">
        <v>35</v>
      </c>
      <c r="D244" s="9" t="str">
        <f>vlookup(C244,Dept_Lookup!A$1:B$17,2,false)</f>
        <v>Electronics</v>
      </c>
      <c r="E244" s="14">
        <v>45880.0</v>
      </c>
      <c r="F244" s="10">
        <f t="shared" si="1"/>
        <v>45880</v>
      </c>
      <c r="G244" s="8">
        <v>62.0</v>
      </c>
      <c r="H244" s="8">
        <v>71.0</v>
      </c>
      <c r="I244" s="8">
        <v>69.0</v>
      </c>
      <c r="J244" s="11">
        <f>G244*Scoring_Weights!B$2+H244*Scoring_Weights!B$3+I244*Scoring_Weights!B$4</f>
        <v>68.65</v>
      </c>
      <c r="K244" s="12">
        <v>0.83</v>
      </c>
      <c r="L244" s="15">
        <v>0.73</v>
      </c>
      <c r="M244" s="12">
        <f t="shared" si="2"/>
        <v>0.73</v>
      </c>
      <c r="N244" s="8" t="s">
        <v>272</v>
      </c>
      <c r="O244" s="13">
        <f>vlookup(N244,Interview_Slots!$A$1:$D$5,3,false)</f>
        <v>70</v>
      </c>
      <c r="P244" s="13">
        <f>vlookup(N244,Interview_Slots!$A$1:$D$5,4,false)</f>
        <v>80</v>
      </c>
      <c r="Q244" s="13" t="str">
        <f t="shared" si="3"/>
        <v>Not Eligible</v>
      </c>
    </row>
    <row r="245" ht="15.75" hidden="1" customHeight="1">
      <c r="A245" s="8" t="s">
        <v>511</v>
      </c>
      <c r="B245" s="8" t="s">
        <v>512</v>
      </c>
      <c r="C245" s="8" t="s">
        <v>20</v>
      </c>
      <c r="D245" s="9" t="str">
        <f>vlookup(C245,Dept_Lookup!A$1:B$17,2,false)</f>
        <v>Electronics</v>
      </c>
      <c r="E245" s="14">
        <v>45880.0</v>
      </c>
      <c r="F245" s="10">
        <f t="shared" si="1"/>
        <v>45880</v>
      </c>
      <c r="G245" s="8">
        <v>83.0</v>
      </c>
      <c r="H245" s="8">
        <v>69.0</v>
      </c>
      <c r="I245" s="8">
        <v>64.0</v>
      </c>
      <c r="J245" s="11">
        <f>G245*Scoring_Weights!B$2+H245*Scoring_Weights!B$3+I245*Scoring_Weights!B$4</f>
        <v>68.6</v>
      </c>
      <c r="K245" s="12">
        <v>0.89</v>
      </c>
      <c r="L245" s="8">
        <v>0.79</v>
      </c>
      <c r="M245" s="12">
        <f t="shared" si="2"/>
        <v>0.79</v>
      </c>
      <c r="N245" s="8" t="s">
        <v>272</v>
      </c>
      <c r="O245" s="13">
        <f>vlookup(N245,Interview_Slots!$A$1:$D$5,3,false)</f>
        <v>70</v>
      </c>
      <c r="P245" s="13">
        <f>vlookup(N245,Interview_Slots!$A$1:$D$5,4,false)</f>
        <v>80</v>
      </c>
      <c r="Q245" s="13" t="str">
        <f t="shared" si="3"/>
        <v>Not Eligible</v>
      </c>
    </row>
    <row r="246" ht="15.75" hidden="1" customHeight="1">
      <c r="A246" s="8" t="s">
        <v>513</v>
      </c>
      <c r="B246" s="8" t="s">
        <v>514</v>
      </c>
      <c r="C246" s="8" t="s">
        <v>41</v>
      </c>
      <c r="D246" s="9" t="str">
        <f>vlookup(C246,Dept_Lookup!A$1:B$17,2,false)</f>
        <v>Mechanical</v>
      </c>
      <c r="E246" s="9">
        <v>45860.0</v>
      </c>
      <c r="F246" s="10">
        <f t="shared" si="1"/>
        <v>45860</v>
      </c>
      <c r="G246" s="8">
        <v>62.0</v>
      </c>
      <c r="H246" s="8">
        <v>86.0</v>
      </c>
      <c r="I246" s="8">
        <v>58.0</v>
      </c>
      <c r="J246" s="11">
        <f>G246*Scoring_Weights!B$2+H246*Scoring_Weights!B$3+I246*Scoring_Weights!B$4</f>
        <v>68.4</v>
      </c>
      <c r="K246" s="12">
        <v>0.77</v>
      </c>
      <c r="L246" s="8">
        <v>0.86</v>
      </c>
      <c r="M246" s="12">
        <f t="shared" si="2"/>
        <v>0.86</v>
      </c>
      <c r="N246" s="8" t="s">
        <v>272</v>
      </c>
      <c r="O246" s="13">
        <f>vlookup(N246,Interview_Slots!$A$1:$D$5,3,false)</f>
        <v>70</v>
      </c>
      <c r="P246" s="13">
        <f>vlookup(N246,Interview_Slots!$A$1:$D$5,4,false)</f>
        <v>80</v>
      </c>
      <c r="Q246" s="13" t="str">
        <f t="shared" si="3"/>
        <v>Not Eligible</v>
      </c>
    </row>
    <row r="247" ht="15.75" hidden="1" customHeight="1">
      <c r="A247" s="8" t="s">
        <v>515</v>
      </c>
      <c r="B247" s="8" t="s">
        <v>516</v>
      </c>
      <c r="C247" s="8" t="s">
        <v>108</v>
      </c>
      <c r="D247" s="9" t="str">
        <f>vlookup(C247,Dept_Lookup!A$1:B$17,2,false)</f>
        <v>Civil</v>
      </c>
      <c r="E247" s="14">
        <v>45865.0</v>
      </c>
      <c r="F247" s="10">
        <f t="shared" si="1"/>
        <v>45865</v>
      </c>
      <c r="G247" s="8">
        <v>93.0</v>
      </c>
      <c r="H247" s="8">
        <v>61.0</v>
      </c>
      <c r="I247" s="8">
        <v>65.0</v>
      </c>
      <c r="J247" s="11">
        <f>G247*Scoring_Weights!B$2+H247*Scoring_Weights!B$3+I247*Scoring_Weights!B$4</f>
        <v>67.8</v>
      </c>
      <c r="K247" s="12">
        <v>0.79</v>
      </c>
      <c r="L247" s="8">
        <v>0.76</v>
      </c>
      <c r="M247" s="12">
        <f t="shared" si="2"/>
        <v>0.76</v>
      </c>
      <c r="N247" s="8" t="s">
        <v>272</v>
      </c>
      <c r="O247" s="13">
        <f>vlookup(N247,Interview_Slots!$A$1:$D$5,3,false)</f>
        <v>70</v>
      </c>
      <c r="P247" s="13">
        <f>vlookup(N247,Interview_Slots!$A$1:$D$5,4,false)</f>
        <v>80</v>
      </c>
      <c r="Q247" s="13" t="str">
        <f t="shared" si="3"/>
        <v>Not Eligible</v>
      </c>
    </row>
    <row r="248" ht="15.75" hidden="1" customHeight="1">
      <c r="A248" s="8" t="s">
        <v>517</v>
      </c>
      <c r="B248" s="8" t="s">
        <v>518</v>
      </c>
      <c r="C248" s="8" t="s">
        <v>41</v>
      </c>
      <c r="D248" s="9" t="str">
        <f>vlookup(C248,Dept_Lookup!A$1:B$17,2,false)</f>
        <v>Mechanical</v>
      </c>
      <c r="E248" s="9">
        <v>45872.0</v>
      </c>
      <c r="F248" s="10">
        <f t="shared" si="1"/>
        <v>45872</v>
      </c>
      <c r="G248" s="8">
        <v>98.0</v>
      </c>
      <c r="H248" s="8">
        <v>71.0</v>
      </c>
      <c r="I248" s="8">
        <v>56.0</v>
      </c>
      <c r="J248" s="11">
        <f>G248*Scoring_Weights!B$2+H248*Scoring_Weights!B$3+I248*Scoring_Weights!B$4</f>
        <v>67.55</v>
      </c>
      <c r="K248" s="12">
        <v>0.76</v>
      </c>
      <c r="L248" s="12">
        <v>0.82</v>
      </c>
      <c r="M248" s="12">
        <f t="shared" si="2"/>
        <v>0.82</v>
      </c>
      <c r="N248" s="8" t="s">
        <v>272</v>
      </c>
      <c r="O248" s="13">
        <f>vlookup(N248,Interview_Slots!$A$1:$D$5,3,false)</f>
        <v>70</v>
      </c>
      <c r="P248" s="13">
        <f>vlookup(N248,Interview_Slots!$A$1:$D$5,4,false)</f>
        <v>80</v>
      </c>
      <c r="Q248" s="13" t="str">
        <f t="shared" si="3"/>
        <v>Not Eligible</v>
      </c>
    </row>
    <row r="249" ht="15.75" hidden="1" customHeight="1">
      <c r="A249" s="8" t="s">
        <v>519</v>
      </c>
      <c r="B249" s="8" t="s">
        <v>520</v>
      </c>
      <c r="C249" s="8" t="s">
        <v>25</v>
      </c>
      <c r="D249" s="9" t="str">
        <f>vlookup(C249,Dept_Lookup!A$1:B$17,2,false)</f>
        <v>Computer Science</v>
      </c>
      <c r="E249" s="14">
        <v>45867.0</v>
      </c>
      <c r="F249" s="10">
        <f t="shared" si="1"/>
        <v>45867</v>
      </c>
      <c r="G249" s="8">
        <v>98.0</v>
      </c>
      <c r="H249" s="8">
        <v>71.0</v>
      </c>
      <c r="I249" s="8">
        <v>56.0</v>
      </c>
      <c r="J249" s="11">
        <f>G249*Scoring_Weights!B$2+H249*Scoring_Weights!B$3+I249*Scoring_Weights!B$4</f>
        <v>67.55</v>
      </c>
      <c r="K249" s="12">
        <v>0.76</v>
      </c>
      <c r="L249" s="12">
        <v>0.82</v>
      </c>
      <c r="M249" s="12">
        <f t="shared" si="2"/>
        <v>0.82</v>
      </c>
      <c r="N249" s="8" t="s">
        <v>272</v>
      </c>
      <c r="O249" s="13">
        <f>vlookup(N249,Interview_Slots!$A$1:$D$5,3,false)</f>
        <v>70</v>
      </c>
      <c r="P249" s="13">
        <f>vlookup(N249,Interview_Slots!$A$1:$D$5,4,false)</f>
        <v>80</v>
      </c>
      <c r="Q249" s="13" t="str">
        <f t="shared" si="3"/>
        <v>Not Eligible</v>
      </c>
    </row>
    <row r="250" ht="15.75" hidden="1" customHeight="1">
      <c r="A250" s="8" t="s">
        <v>521</v>
      </c>
      <c r="B250" s="8" t="s">
        <v>522</v>
      </c>
      <c r="C250" s="8" t="s">
        <v>38</v>
      </c>
      <c r="D250" s="9" t="str">
        <f>vlookup(C250,Dept_Lookup!A$1:B$17,2,false)</f>
        <v>Mechanical</v>
      </c>
      <c r="E250" s="14">
        <v>45865.0</v>
      </c>
      <c r="F250" s="10">
        <f t="shared" si="1"/>
        <v>45865</v>
      </c>
      <c r="G250" s="8">
        <v>79.0</v>
      </c>
      <c r="H250" s="8">
        <v>64.0</v>
      </c>
      <c r="I250" s="8">
        <v>66.0</v>
      </c>
      <c r="J250" s="11">
        <f>G250*Scoring_Weights!B$2+H250*Scoring_Weights!B$3+I250*Scoring_Weights!B$4</f>
        <v>67.25</v>
      </c>
      <c r="K250" s="12">
        <v>0.86</v>
      </c>
      <c r="L250" s="8">
        <v>0.97</v>
      </c>
      <c r="M250" s="12">
        <f t="shared" si="2"/>
        <v>0.97</v>
      </c>
      <c r="N250" s="8" t="s">
        <v>272</v>
      </c>
      <c r="O250" s="13">
        <f>vlookup(N250,Interview_Slots!$A$1:$D$5,3,false)</f>
        <v>70</v>
      </c>
      <c r="P250" s="13">
        <f>vlookup(N250,Interview_Slots!$A$1:$D$5,4,false)</f>
        <v>80</v>
      </c>
      <c r="Q250" s="13" t="str">
        <f t="shared" si="3"/>
        <v>Not Eligible</v>
      </c>
    </row>
    <row r="251" ht="15.75" hidden="1" customHeight="1">
      <c r="A251" s="8" t="s">
        <v>523</v>
      </c>
      <c r="B251" s="8" t="s">
        <v>524</v>
      </c>
      <c r="C251" s="8" t="s">
        <v>47</v>
      </c>
      <c r="D251" s="9" t="str">
        <f>vlookup(C251,Dept_Lookup!A$1:B$17,2,false)</f>
        <v>Civil</v>
      </c>
      <c r="E251" s="9">
        <v>45866.0</v>
      </c>
      <c r="F251" s="10">
        <f t="shared" si="1"/>
        <v>45866</v>
      </c>
      <c r="G251" s="8">
        <v>57.0</v>
      </c>
      <c r="H251" s="8">
        <v>66.0</v>
      </c>
      <c r="I251" s="8">
        <v>71.0</v>
      </c>
      <c r="J251" s="11">
        <f>G251*Scoring_Weights!B$2+H251*Scoring_Weights!B$3+I251*Scoring_Weights!B$4</f>
        <v>67.15</v>
      </c>
      <c r="K251" s="12">
        <v>0.9</v>
      </c>
      <c r="L251" s="15">
        <v>0.73</v>
      </c>
      <c r="M251" s="12">
        <f t="shared" si="2"/>
        <v>0.73</v>
      </c>
      <c r="N251" s="8" t="s">
        <v>272</v>
      </c>
      <c r="O251" s="13">
        <f>vlookup(N251,Interview_Slots!$A$1:$D$5,3,false)</f>
        <v>70</v>
      </c>
      <c r="P251" s="13">
        <f>vlookup(N251,Interview_Slots!$A$1:$D$5,4,false)</f>
        <v>80</v>
      </c>
      <c r="Q251" s="13" t="str">
        <f t="shared" si="3"/>
        <v>Not Eligible</v>
      </c>
    </row>
    <row r="252" ht="15.75" hidden="1" customHeight="1">
      <c r="A252" s="8" t="s">
        <v>525</v>
      </c>
      <c r="B252" s="8" t="s">
        <v>526</v>
      </c>
      <c r="C252" s="8" t="s">
        <v>25</v>
      </c>
      <c r="D252" s="9" t="str">
        <f>vlookup(C252,Dept_Lookup!A$1:B$17,2,false)</f>
        <v>Computer Science</v>
      </c>
      <c r="E252" s="14">
        <v>45877.0</v>
      </c>
      <c r="F252" s="10">
        <f t="shared" si="1"/>
        <v>45877</v>
      </c>
      <c r="G252" s="8">
        <v>94.0</v>
      </c>
      <c r="H252" s="8">
        <v>68.0</v>
      </c>
      <c r="I252" s="8">
        <v>58.0</v>
      </c>
      <c r="J252" s="11">
        <f>G252*Scoring_Weights!B$2+H252*Scoring_Weights!B$3+I252*Scoring_Weights!B$4</f>
        <v>66.9</v>
      </c>
      <c r="K252" s="12">
        <v>0.9</v>
      </c>
      <c r="L252" s="8">
        <v>0.79</v>
      </c>
      <c r="M252" s="12">
        <f t="shared" si="2"/>
        <v>0.79</v>
      </c>
      <c r="N252" s="8" t="s">
        <v>272</v>
      </c>
      <c r="O252" s="13">
        <f>vlookup(N252,Interview_Slots!$A$1:$D$5,3,false)</f>
        <v>70</v>
      </c>
      <c r="P252" s="13">
        <f>vlookup(N252,Interview_Slots!$A$1:$D$5,4,false)</f>
        <v>80</v>
      </c>
      <c r="Q252" s="13" t="str">
        <f t="shared" si="3"/>
        <v>Not Eligible</v>
      </c>
    </row>
    <row r="253" ht="15.75" hidden="1" customHeight="1">
      <c r="A253" s="8" t="s">
        <v>527</v>
      </c>
      <c r="B253" s="8" t="s">
        <v>528</v>
      </c>
      <c r="C253" s="8" t="s">
        <v>25</v>
      </c>
      <c r="D253" s="9" t="str">
        <f>vlookup(C253,Dept_Lookup!A$1:B$17,2,false)</f>
        <v>Computer Science</v>
      </c>
      <c r="E253" s="14">
        <v>45865.0</v>
      </c>
      <c r="F253" s="10">
        <f t="shared" si="1"/>
        <v>45865</v>
      </c>
      <c r="G253" s="8">
        <v>66.0</v>
      </c>
      <c r="H253" s="8">
        <v>80.0</v>
      </c>
      <c r="I253" s="8">
        <v>58.0</v>
      </c>
      <c r="J253" s="11">
        <f>G253*Scoring_Weights!B$2+H253*Scoring_Weights!B$3+I253*Scoring_Weights!B$4</f>
        <v>66.9</v>
      </c>
      <c r="K253" s="12">
        <v>0.76</v>
      </c>
      <c r="L253" s="12">
        <v>0.84</v>
      </c>
      <c r="M253" s="12">
        <f t="shared" si="2"/>
        <v>0.84</v>
      </c>
      <c r="N253" s="8" t="s">
        <v>272</v>
      </c>
      <c r="O253" s="13">
        <f>vlookup(N253,Interview_Slots!$A$1:$D$5,3,false)</f>
        <v>70</v>
      </c>
      <c r="P253" s="13">
        <f>vlookup(N253,Interview_Slots!$A$1:$D$5,4,false)</f>
        <v>80</v>
      </c>
      <c r="Q253" s="13" t="str">
        <f t="shared" si="3"/>
        <v>Not Eligible</v>
      </c>
    </row>
    <row r="254" ht="15.75" hidden="1" customHeight="1">
      <c r="A254" s="8" t="s">
        <v>529</v>
      </c>
      <c r="B254" s="8" t="s">
        <v>530</v>
      </c>
      <c r="C254" s="8" t="s">
        <v>83</v>
      </c>
      <c r="D254" s="9" t="str">
        <f>vlookup(C254,Dept_Lookup!A$1:B$17,2,false)</f>
        <v>Civil</v>
      </c>
      <c r="E254" s="14">
        <v>45877.0</v>
      </c>
      <c r="F254" s="10">
        <f t="shared" si="1"/>
        <v>45877</v>
      </c>
      <c r="G254" s="8">
        <v>76.0</v>
      </c>
      <c r="H254" s="8">
        <v>68.0</v>
      </c>
      <c r="I254" s="8">
        <v>63.0</v>
      </c>
      <c r="J254" s="11">
        <f>G254*Scoring_Weights!B$2+H254*Scoring_Weights!B$3+I254*Scoring_Weights!B$4</f>
        <v>66.7</v>
      </c>
      <c r="K254" s="12">
        <v>0.93</v>
      </c>
      <c r="L254" s="15">
        <v>0.73</v>
      </c>
      <c r="M254" s="12">
        <f t="shared" si="2"/>
        <v>0.73</v>
      </c>
      <c r="N254" s="8" t="s">
        <v>272</v>
      </c>
      <c r="O254" s="13">
        <f>vlookup(N254,Interview_Slots!$A$1:$D$5,3,false)</f>
        <v>70</v>
      </c>
      <c r="P254" s="13">
        <f>vlookup(N254,Interview_Slots!$A$1:$D$5,4,false)</f>
        <v>80</v>
      </c>
      <c r="Q254" s="13" t="str">
        <f t="shared" si="3"/>
        <v>Not Eligible</v>
      </c>
    </row>
    <row r="255" ht="15.75" hidden="1" customHeight="1">
      <c r="A255" s="8" t="s">
        <v>531</v>
      </c>
      <c r="B255" s="8" t="s">
        <v>532</v>
      </c>
      <c r="C255" s="8" t="s">
        <v>20</v>
      </c>
      <c r="D255" s="9" t="str">
        <f>vlookup(C255,Dept_Lookup!A$1:B$17,2,false)</f>
        <v>Electronics</v>
      </c>
      <c r="E255" s="14">
        <v>45842.0</v>
      </c>
      <c r="F255" s="10">
        <f t="shared" si="1"/>
        <v>45842</v>
      </c>
      <c r="G255" s="8">
        <v>82.0</v>
      </c>
      <c r="H255" s="8">
        <v>61.0</v>
      </c>
      <c r="I255" s="8">
        <v>65.0</v>
      </c>
      <c r="J255" s="11">
        <f>G255*Scoring_Weights!B$2+H255*Scoring_Weights!B$3+I255*Scoring_Weights!B$4</f>
        <v>66.15</v>
      </c>
      <c r="K255" s="12">
        <v>0.76</v>
      </c>
      <c r="L255" s="8">
        <v>0.9</v>
      </c>
      <c r="M255" s="12">
        <f t="shared" si="2"/>
        <v>0.9</v>
      </c>
      <c r="N255" s="8" t="s">
        <v>272</v>
      </c>
      <c r="O255" s="13">
        <f>vlookup(N255,Interview_Slots!$A$1:$D$5,3,false)</f>
        <v>70</v>
      </c>
      <c r="P255" s="13">
        <f>vlookup(N255,Interview_Slots!$A$1:$D$5,4,false)</f>
        <v>80</v>
      </c>
      <c r="Q255" s="13" t="str">
        <f t="shared" si="3"/>
        <v>Not Eligible</v>
      </c>
    </row>
    <row r="256" ht="15.75" hidden="1" customHeight="1">
      <c r="A256" s="8" t="s">
        <v>533</v>
      </c>
      <c r="B256" s="8" t="s">
        <v>274</v>
      </c>
      <c r="C256" s="8" t="s">
        <v>57</v>
      </c>
      <c r="D256" s="9" t="str">
        <f>vlookup(C256,Dept_Lookup!A$1:B$17,2,false)</f>
        <v>Computer Science</v>
      </c>
      <c r="E256" s="14">
        <v>45865.0</v>
      </c>
      <c r="F256" s="10">
        <f t="shared" si="1"/>
        <v>45865</v>
      </c>
      <c r="G256" s="8">
        <v>84.0</v>
      </c>
      <c r="H256" s="8">
        <v>63.0</v>
      </c>
      <c r="I256" s="8">
        <v>63.0</v>
      </c>
      <c r="J256" s="11">
        <f>G256*Scoring_Weights!B$2+H256*Scoring_Weights!B$3+I256*Scoring_Weights!B$4</f>
        <v>66.15</v>
      </c>
      <c r="K256" s="12">
        <v>0.78</v>
      </c>
      <c r="L256" s="12">
        <v>0.92</v>
      </c>
      <c r="M256" s="12">
        <f t="shared" si="2"/>
        <v>0.92</v>
      </c>
      <c r="N256" s="8" t="s">
        <v>272</v>
      </c>
      <c r="O256" s="13">
        <f>vlookup(N256,Interview_Slots!$A$1:$D$5,3,false)</f>
        <v>70</v>
      </c>
      <c r="P256" s="13">
        <f>vlookup(N256,Interview_Slots!$A$1:$D$5,4,false)</f>
        <v>80</v>
      </c>
      <c r="Q256" s="13" t="str">
        <f t="shared" si="3"/>
        <v>Not Eligible</v>
      </c>
    </row>
    <row r="257" ht="15.75" hidden="1" customHeight="1">
      <c r="A257" s="8" t="s">
        <v>534</v>
      </c>
      <c r="B257" s="8" t="s">
        <v>535</v>
      </c>
      <c r="C257" s="8" t="s">
        <v>35</v>
      </c>
      <c r="D257" s="9" t="str">
        <f>vlookup(C257,Dept_Lookup!A$1:B$17,2,false)</f>
        <v>Electronics</v>
      </c>
      <c r="E257" s="9">
        <v>45878.0</v>
      </c>
      <c r="F257" s="10">
        <f t="shared" si="1"/>
        <v>45878</v>
      </c>
      <c r="G257" s="8">
        <v>75.0</v>
      </c>
      <c r="H257" s="8">
        <v>59.0</v>
      </c>
      <c r="I257" s="8">
        <v>68.0</v>
      </c>
      <c r="J257" s="11">
        <f>G257*Scoring_Weights!B$2+H257*Scoring_Weights!B$3+I257*Scoring_Weights!B$4</f>
        <v>65.9</v>
      </c>
      <c r="K257" s="12">
        <v>0.94</v>
      </c>
      <c r="L257" s="8">
        <v>0.89</v>
      </c>
      <c r="M257" s="12">
        <f t="shared" si="2"/>
        <v>0.89</v>
      </c>
      <c r="N257" s="8" t="s">
        <v>272</v>
      </c>
      <c r="O257" s="13">
        <f>vlookup(N257,Interview_Slots!$A$1:$D$5,3,false)</f>
        <v>70</v>
      </c>
      <c r="P257" s="13">
        <f>vlookup(N257,Interview_Slots!$A$1:$D$5,4,false)</f>
        <v>80</v>
      </c>
      <c r="Q257" s="13" t="str">
        <f t="shared" si="3"/>
        <v>Not Eligible</v>
      </c>
    </row>
    <row r="258" ht="15.75" hidden="1" customHeight="1">
      <c r="A258" s="8" t="s">
        <v>536</v>
      </c>
      <c r="B258" s="8" t="s">
        <v>537</v>
      </c>
      <c r="C258" s="8" t="s">
        <v>25</v>
      </c>
      <c r="D258" s="9" t="str">
        <f>vlookup(C258,Dept_Lookup!A$1:B$17,2,false)</f>
        <v>Computer Science</v>
      </c>
      <c r="E258" s="14">
        <v>45865.0</v>
      </c>
      <c r="F258" s="10">
        <f t="shared" si="1"/>
        <v>45865</v>
      </c>
      <c r="G258" s="8">
        <v>74.0</v>
      </c>
      <c r="H258" s="8">
        <v>58.0</v>
      </c>
      <c r="I258" s="8">
        <v>69.0</v>
      </c>
      <c r="J258" s="11">
        <f>G258*Scoring_Weights!B$2+H258*Scoring_Weights!B$3+I258*Scoring_Weights!B$4</f>
        <v>65.9</v>
      </c>
      <c r="K258" s="12">
        <v>0.83</v>
      </c>
      <c r="L258" s="8">
        <v>0.92</v>
      </c>
      <c r="M258" s="12">
        <f t="shared" si="2"/>
        <v>0.92</v>
      </c>
      <c r="N258" s="8" t="s">
        <v>272</v>
      </c>
      <c r="O258" s="13">
        <f>vlookup(N258,Interview_Slots!$A$1:$D$5,3,false)</f>
        <v>70</v>
      </c>
      <c r="P258" s="13">
        <f>vlookup(N258,Interview_Slots!$A$1:$D$5,4,false)</f>
        <v>80</v>
      </c>
      <c r="Q258" s="13" t="str">
        <f t="shared" si="3"/>
        <v>Not Eligible</v>
      </c>
    </row>
    <row r="259" ht="15.75" hidden="1" customHeight="1">
      <c r="A259" s="8" t="s">
        <v>538</v>
      </c>
      <c r="B259" s="8" t="s">
        <v>271</v>
      </c>
      <c r="C259" s="8" t="s">
        <v>72</v>
      </c>
      <c r="D259" s="9" t="str">
        <f>vlookup(C259,Dept_Lookup!A$1:B$17,2,false)</f>
        <v>Mechanical</v>
      </c>
      <c r="E259" s="14">
        <v>45900.0</v>
      </c>
      <c r="F259" s="10">
        <f t="shared" si="1"/>
        <v>45900</v>
      </c>
      <c r="G259" s="8">
        <v>87.0</v>
      </c>
      <c r="H259" s="8">
        <v>71.0</v>
      </c>
      <c r="I259" s="8">
        <v>55.0</v>
      </c>
      <c r="J259" s="11">
        <f>G259*Scoring_Weights!B$2+H259*Scoring_Weights!B$3+I259*Scoring_Weights!B$4</f>
        <v>65.4</v>
      </c>
      <c r="K259" s="12">
        <v>0.84</v>
      </c>
      <c r="L259" s="8">
        <v>0.96</v>
      </c>
      <c r="M259" s="12">
        <f t="shared" si="2"/>
        <v>0.96</v>
      </c>
      <c r="N259" s="8" t="s">
        <v>272</v>
      </c>
      <c r="O259" s="13">
        <f>vlookup(N259,Interview_Slots!$A$1:$D$5,3,false)</f>
        <v>70</v>
      </c>
      <c r="P259" s="13">
        <f>vlookup(N259,Interview_Slots!$A$1:$D$5,4,false)</f>
        <v>80</v>
      </c>
      <c r="Q259" s="13" t="str">
        <f t="shared" si="3"/>
        <v>Not Eligible</v>
      </c>
    </row>
    <row r="260" ht="15.75" hidden="1" customHeight="1">
      <c r="A260" s="8" t="s">
        <v>539</v>
      </c>
      <c r="B260" s="8" t="s">
        <v>540</v>
      </c>
      <c r="C260" s="8" t="s">
        <v>35</v>
      </c>
      <c r="D260" s="9" t="str">
        <f>vlookup(C260,Dept_Lookup!A$1:B$17,2,false)</f>
        <v>Electronics</v>
      </c>
      <c r="E260" s="14">
        <v>45854.0</v>
      </c>
      <c r="F260" s="10">
        <f t="shared" si="1"/>
        <v>45854</v>
      </c>
      <c r="G260" s="8">
        <v>75.0</v>
      </c>
      <c r="H260" s="8">
        <v>76.0</v>
      </c>
      <c r="I260" s="8">
        <v>55.0</v>
      </c>
      <c r="J260" s="11">
        <f>G260*Scoring_Weights!B$2+H260*Scoring_Weights!B$3+I260*Scoring_Weights!B$4</f>
        <v>65.35</v>
      </c>
      <c r="K260" s="12">
        <v>0.9</v>
      </c>
      <c r="L260" s="8">
        <v>0.99</v>
      </c>
      <c r="M260" s="12">
        <f t="shared" si="2"/>
        <v>0.99</v>
      </c>
      <c r="N260" s="8" t="s">
        <v>272</v>
      </c>
      <c r="O260" s="13">
        <f>vlookup(N260,Interview_Slots!$A$1:$D$5,3,false)</f>
        <v>70</v>
      </c>
      <c r="P260" s="13">
        <f>vlookup(N260,Interview_Slots!$A$1:$D$5,4,false)</f>
        <v>80</v>
      </c>
      <c r="Q260" s="13" t="str">
        <f t="shared" si="3"/>
        <v>Not Eligible</v>
      </c>
    </row>
    <row r="261" ht="15.75" hidden="1" customHeight="1">
      <c r="A261" s="8" t="s">
        <v>541</v>
      </c>
      <c r="B261" s="8" t="s">
        <v>542</v>
      </c>
      <c r="C261" s="8" t="s">
        <v>28</v>
      </c>
      <c r="D261" s="9" t="str">
        <f>vlookup(C261,Dept_Lookup!A$1:B$17,2,false)</f>
        <v>Electronics</v>
      </c>
      <c r="E261" s="9">
        <v>45870.0</v>
      </c>
      <c r="F261" s="10">
        <f t="shared" si="1"/>
        <v>45870</v>
      </c>
      <c r="G261" s="8">
        <v>59.0</v>
      </c>
      <c r="H261" s="8">
        <v>75.0</v>
      </c>
      <c r="I261" s="8">
        <v>60.0</v>
      </c>
      <c r="J261" s="11">
        <f>G261*Scoring_Weights!B$2+H261*Scoring_Weights!B$3+I261*Scoring_Weights!B$4</f>
        <v>65.1</v>
      </c>
      <c r="K261" s="12">
        <v>0.77</v>
      </c>
      <c r="L261" s="8">
        <v>0.77</v>
      </c>
      <c r="M261" s="12">
        <f t="shared" si="2"/>
        <v>0.77</v>
      </c>
      <c r="N261" s="8" t="s">
        <v>272</v>
      </c>
      <c r="O261" s="13">
        <f>vlookup(N261,Interview_Slots!$A$1:$D$5,3,false)</f>
        <v>70</v>
      </c>
      <c r="P261" s="13">
        <f>vlookup(N261,Interview_Slots!$A$1:$D$5,4,false)</f>
        <v>80</v>
      </c>
      <c r="Q261" s="13" t="str">
        <f t="shared" si="3"/>
        <v>Not Eligible</v>
      </c>
    </row>
    <row r="262" ht="15.75" hidden="1" customHeight="1">
      <c r="A262" s="8" t="s">
        <v>543</v>
      </c>
      <c r="B262" s="8" t="s">
        <v>544</v>
      </c>
      <c r="C262" s="8" t="s">
        <v>57</v>
      </c>
      <c r="D262" s="9" t="str">
        <f>vlookup(C262,Dept_Lookup!A$1:B$17,2,false)</f>
        <v>Computer Science</v>
      </c>
      <c r="E262" s="14">
        <v>45882.0</v>
      </c>
      <c r="F262" s="10">
        <f t="shared" si="1"/>
        <v>45882</v>
      </c>
      <c r="G262" s="8">
        <v>77.0</v>
      </c>
      <c r="H262" s="8">
        <v>68.0</v>
      </c>
      <c r="I262" s="8">
        <v>59.0</v>
      </c>
      <c r="J262" s="11">
        <f>G262*Scoring_Weights!B$2+H262*Scoring_Weights!B$3+I262*Scoring_Weights!B$4</f>
        <v>64.85</v>
      </c>
      <c r="K262" s="12">
        <v>0.93</v>
      </c>
      <c r="L262" s="8">
        <v>0.92</v>
      </c>
      <c r="M262" s="12">
        <f t="shared" si="2"/>
        <v>0.92</v>
      </c>
      <c r="N262" s="8" t="s">
        <v>272</v>
      </c>
      <c r="O262" s="13">
        <f>vlookup(N262,Interview_Slots!$A$1:$D$5,3,false)</f>
        <v>70</v>
      </c>
      <c r="P262" s="13">
        <f>vlookup(N262,Interview_Slots!$A$1:$D$5,4,false)</f>
        <v>80</v>
      </c>
      <c r="Q262" s="13" t="str">
        <f t="shared" si="3"/>
        <v>Not Eligible</v>
      </c>
    </row>
    <row r="263" ht="15.75" hidden="1" customHeight="1">
      <c r="A263" s="8" t="s">
        <v>545</v>
      </c>
      <c r="B263" s="8" t="s">
        <v>546</v>
      </c>
      <c r="C263" s="8" t="s">
        <v>47</v>
      </c>
      <c r="D263" s="9" t="str">
        <f>vlookup(C263,Dept_Lookup!A$1:B$17,2,false)</f>
        <v>Civil</v>
      </c>
      <c r="E263" s="14">
        <v>45880.0</v>
      </c>
      <c r="F263" s="10">
        <f t="shared" si="1"/>
        <v>45880</v>
      </c>
      <c r="G263" s="8">
        <v>70.0</v>
      </c>
      <c r="H263" s="8">
        <v>73.0</v>
      </c>
      <c r="I263" s="8">
        <v>57.0</v>
      </c>
      <c r="J263" s="11">
        <f>G263*Scoring_Weights!B$2+H263*Scoring_Weights!B$3+I263*Scoring_Weights!B$4</f>
        <v>64.55</v>
      </c>
      <c r="K263" s="12">
        <v>0.76</v>
      </c>
      <c r="L263" s="12">
        <v>0.83</v>
      </c>
      <c r="M263" s="12">
        <f t="shared" si="2"/>
        <v>0.83</v>
      </c>
      <c r="N263" s="8" t="s">
        <v>272</v>
      </c>
      <c r="O263" s="13">
        <f>vlookup(N263,Interview_Slots!$A$1:$D$5,3,false)</f>
        <v>70</v>
      </c>
      <c r="P263" s="13">
        <f>vlookup(N263,Interview_Slots!$A$1:$D$5,4,false)</f>
        <v>80</v>
      </c>
      <c r="Q263" s="13" t="str">
        <f t="shared" si="3"/>
        <v>Not Eligible</v>
      </c>
    </row>
    <row r="264" ht="15.75" hidden="1" customHeight="1">
      <c r="A264" s="8" t="s">
        <v>547</v>
      </c>
      <c r="B264" s="8" t="s">
        <v>548</v>
      </c>
      <c r="C264" s="8" t="s">
        <v>83</v>
      </c>
      <c r="D264" s="9" t="str">
        <f>vlookup(C264,Dept_Lookup!A$1:B$17,2,false)</f>
        <v>Civil</v>
      </c>
      <c r="E264" s="14">
        <v>45870.0</v>
      </c>
      <c r="F264" s="10">
        <f t="shared" si="1"/>
        <v>45870</v>
      </c>
      <c r="G264" s="8">
        <v>61.0</v>
      </c>
      <c r="H264" s="8">
        <v>56.0</v>
      </c>
      <c r="I264" s="8">
        <v>71.0</v>
      </c>
      <c r="J264" s="11">
        <f>G264*Scoring_Weights!B$2+H264*Scoring_Weights!B$3+I264*Scoring_Weights!B$4</f>
        <v>64.25</v>
      </c>
      <c r="K264" s="12">
        <v>0.85</v>
      </c>
      <c r="L264" s="8">
        <v>0.77</v>
      </c>
      <c r="M264" s="12">
        <f t="shared" si="2"/>
        <v>0.77</v>
      </c>
      <c r="N264" s="8" t="s">
        <v>272</v>
      </c>
      <c r="O264" s="13">
        <f>vlookup(N264,Interview_Slots!$A$1:$D$5,3,false)</f>
        <v>70</v>
      </c>
      <c r="P264" s="13">
        <f>vlookup(N264,Interview_Slots!$A$1:$D$5,4,false)</f>
        <v>80</v>
      </c>
      <c r="Q264" s="13" t="str">
        <f t="shared" si="3"/>
        <v>Not Eligible</v>
      </c>
    </row>
    <row r="265" ht="15.75" hidden="1" customHeight="1">
      <c r="A265" s="8" t="s">
        <v>549</v>
      </c>
      <c r="B265" s="8" t="s">
        <v>550</v>
      </c>
      <c r="C265" s="8" t="s">
        <v>83</v>
      </c>
      <c r="D265" s="9" t="str">
        <f>vlookup(C265,Dept_Lookup!A$1:B$17,2,false)</f>
        <v>Civil</v>
      </c>
      <c r="E265" s="9">
        <v>45893.0</v>
      </c>
      <c r="F265" s="10">
        <f t="shared" si="1"/>
        <v>45893</v>
      </c>
      <c r="G265" s="8">
        <v>74.0</v>
      </c>
      <c r="H265" s="8">
        <v>65.0</v>
      </c>
      <c r="I265" s="8">
        <v>60.0</v>
      </c>
      <c r="J265" s="11">
        <f>G265*Scoring_Weights!B$2+H265*Scoring_Weights!B$3+I265*Scoring_Weights!B$4</f>
        <v>63.85</v>
      </c>
      <c r="K265" s="12">
        <v>0.86</v>
      </c>
      <c r="L265" s="8">
        <v>0.94</v>
      </c>
      <c r="M265" s="12">
        <f t="shared" si="2"/>
        <v>0.94</v>
      </c>
      <c r="N265" s="8" t="s">
        <v>272</v>
      </c>
      <c r="O265" s="13">
        <f>vlookup(N265,Interview_Slots!$A$1:$D$5,3,false)</f>
        <v>70</v>
      </c>
      <c r="P265" s="13">
        <f>vlookup(N265,Interview_Slots!$A$1:$D$5,4,false)</f>
        <v>80</v>
      </c>
      <c r="Q265" s="13" t="str">
        <f t="shared" si="3"/>
        <v>Not Eligible</v>
      </c>
    </row>
    <row r="266" ht="15.75" hidden="1" customHeight="1">
      <c r="A266" s="8" t="s">
        <v>551</v>
      </c>
      <c r="B266" s="8" t="s">
        <v>552</v>
      </c>
      <c r="C266" s="8" t="s">
        <v>28</v>
      </c>
      <c r="D266" s="9" t="str">
        <f>vlookup(C266,Dept_Lookup!A$1:B$17,2,false)</f>
        <v>Electronics</v>
      </c>
      <c r="E266" s="14">
        <v>45882.0</v>
      </c>
      <c r="F266" s="10">
        <f t="shared" si="1"/>
        <v>45882</v>
      </c>
      <c r="G266" s="8">
        <v>90.0</v>
      </c>
      <c r="H266" s="8">
        <v>62.0</v>
      </c>
      <c r="I266" s="8">
        <v>57.0</v>
      </c>
      <c r="J266" s="11">
        <f>G266*Scoring_Weights!B$2+H266*Scoring_Weights!B$3+I266*Scoring_Weights!B$4</f>
        <v>63.7</v>
      </c>
      <c r="K266" s="12">
        <v>0.77</v>
      </c>
      <c r="L266" s="12">
        <v>0.96</v>
      </c>
      <c r="M266" s="12">
        <f t="shared" si="2"/>
        <v>0.96</v>
      </c>
      <c r="N266" s="8" t="s">
        <v>272</v>
      </c>
      <c r="O266" s="13">
        <f>vlookup(N266,Interview_Slots!$A$1:$D$5,3,false)</f>
        <v>70</v>
      </c>
      <c r="P266" s="13">
        <f>vlookup(N266,Interview_Slots!$A$1:$D$5,4,false)</f>
        <v>80</v>
      </c>
      <c r="Q266" s="13" t="str">
        <f t="shared" si="3"/>
        <v>Not Eligible</v>
      </c>
    </row>
    <row r="267" ht="15.75" hidden="1" customHeight="1">
      <c r="A267" s="8" t="s">
        <v>553</v>
      </c>
      <c r="B267" s="8" t="s">
        <v>554</v>
      </c>
      <c r="C267" s="8" t="s">
        <v>35</v>
      </c>
      <c r="D267" s="9" t="str">
        <f>vlookup(C267,Dept_Lookup!A$1:B$17,2,false)</f>
        <v>Electronics</v>
      </c>
      <c r="E267" s="14">
        <v>45913.0</v>
      </c>
      <c r="F267" s="10">
        <f t="shared" si="1"/>
        <v>45913</v>
      </c>
      <c r="G267" s="8">
        <v>78.0</v>
      </c>
      <c r="H267" s="8">
        <v>57.0</v>
      </c>
      <c r="I267" s="8">
        <v>64.0</v>
      </c>
      <c r="J267" s="11">
        <f>G267*Scoring_Weights!B$2+H267*Scoring_Weights!B$3+I267*Scoring_Weights!B$4</f>
        <v>63.65</v>
      </c>
      <c r="K267" s="12">
        <v>0.92</v>
      </c>
      <c r="L267" s="12">
        <v>0.88</v>
      </c>
      <c r="M267" s="12">
        <f t="shared" si="2"/>
        <v>0.88</v>
      </c>
      <c r="N267" s="8" t="s">
        <v>272</v>
      </c>
      <c r="O267" s="13">
        <f>vlookup(N267,Interview_Slots!$A$1:$D$5,3,false)</f>
        <v>70</v>
      </c>
      <c r="P267" s="13">
        <f>vlookup(N267,Interview_Slots!$A$1:$D$5,4,false)</f>
        <v>80</v>
      </c>
      <c r="Q267" s="13" t="str">
        <f t="shared" si="3"/>
        <v>Not Eligible</v>
      </c>
    </row>
    <row r="268" ht="15.75" hidden="1" customHeight="1">
      <c r="A268" s="8" t="s">
        <v>555</v>
      </c>
      <c r="B268" s="8" t="s">
        <v>556</v>
      </c>
      <c r="C268" s="8" t="s">
        <v>161</v>
      </c>
      <c r="D268" s="9" t="str">
        <f>vlookup(C268,Dept_Lookup!A$1:B$17,2,false)</f>
        <v>Mechanical</v>
      </c>
      <c r="E268" s="9">
        <v>45866.0</v>
      </c>
      <c r="F268" s="10">
        <f t="shared" si="1"/>
        <v>45866</v>
      </c>
      <c r="G268" s="8">
        <v>81.0</v>
      </c>
      <c r="H268" s="8">
        <v>65.0</v>
      </c>
      <c r="I268" s="8">
        <v>57.0</v>
      </c>
      <c r="J268" s="11">
        <f>G268*Scoring_Weights!B$2+H268*Scoring_Weights!B$3+I268*Scoring_Weights!B$4</f>
        <v>63.4</v>
      </c>
      <c r="K268" s="12">
        <v>0.76</v>
      </c>
      <c r="L268" s="8">
        <v>0.95</v>
      </c>
      <c r="M268" s="12">
        <f t="shared" si="2"/>
        <v>0.95</v>
      </c>
      <c r="N268" s="8" t="s">
        <v>272</v>
      </c>
      <c r="O268" s="13">
        <f>vlookup(N268,Interview_Slots!$A$1:$D$5,3,false)</f>
        <v>70</v>
      </c>
      <c r="P268" s="13">
        <f>vlookup(N268,Interview_Slots!$A$1:$D$5,4,false)</f>
        <v>80</v>
      </c>
      <c r="Q268" s="13" t="str">
        <f t="shared" si="3"/>
        <v>Not Eligible</v>
      </c>
    </row>
    <row r="269" ht="15.75" hidden="1" customHeight="1">
      <c r="A269" s="8" t="s">
        <v>557</v>
      </c>
      <c r="B269" s="8" t="s">
        <v>558</v>
      </c>
      <c r="C269" s="8" t="s">
        <v>38</v>
      </c>
      <c r="D269" s="9" t="str">
        <f>vlookup(C269,Dept_Lookup!A$1:B$17,2,false)</f>
        <v>Mechanical</v>
      </c>
      <c r="E269" s="14">
        <v>45865.0</v>
      </c>
      <c r="F269" s="10">
        <f t="shared" si="1"/>
        <v>45865</v>
      </c>
      <c r="G269" s="8">
        <v>55.0</v>
      </c>
      <c r="H269" s="8">
        <v>76.0</v>
      </c>
      <c r="I269" s="8">
        <v>57.0</v>
      </c>
      <c r="J269" s="11">
        <f>G269*Scoring_Weights!B$2+H269*Scoring_Weights!B$3+I269*Scoring_Weights!B$4</f>
        <v>63.35</v>
      </c>
      <c r="K269" s="12">
        <v>0.82</v>
      </c>
      <c r="L269" s="12">
        <v>0.82</v>
      </c>
      <c r="M269" s="12">
        <f t="shared" si="2"/>
        <v>0.82</v>
      </c>
      <c r="N269" s="8" t="s">
        <v>272</v>
      </c>
      <c r="O269" s="13">
        <f>vlookup(N269,Interview_Slots!$A$1:$D$5,3,false)</f>
        <v>70</v>
      </c>
      <c r="P269" s="13">
        <f>vlookup(N269,Interview_Slots!$A$1:$D$5,4,false)</f>
        <v>80</v>
      </c>
      <c r="Q269" s="13" t="str">
        <f t="shared" si="3"/>
        <v>Not Eligible</v>
      </c>
    </row>
    <row r="270" ht="15.75" hidden="1" customHeight="1">
      <c r="A270" s="8" t="s">
        <v>559</v>
      </c>
      <c r="B270" s="8" t="s">
        <v>317</v>
      </c>
      <c r="C270" s="8" t="s">
        <v>38</v>
      </c>
      <c r="D270" s="9" t="str">
        <f>vlookup(C270,Dept_Lookup!A$1:B$17,2,false)</f>
        <v>Mechanical</v>
      </c>
      <c r="E270" s="14">
        <v>45900.0</v>
      </c>
      <c r="F270" s="10">
        <f t="shared" si="1"/>
        <v>45900</v>
      </c>
      <c r="G270" s="8">
        <v>87.0</v>
      </c>
      <c r="H270" s="8">
        <v>65.0</v>
      </c>
      <c r="I270" s="8">
        <v>55.0</v>
      </c>
      <c r="J270" s="11">
        <f>G270*Scoring_Weights!B$2+H270*Scoring_Weights!B$3+I270*Scoring_Weights!B$4</f>
        <v>63.3</v>
      </c>
      <c r="K270" s="12">
        <v>0.87</v>
      </c>
      <c r="L270" s="8">
        <v>0.75</v>
      </c>
      <c r="M270" s="12">
        <f t="shared" si="2"/>
        <v>0.75</v>
      </c>
      <c r="N270" s="8" t="s">
        <v>272</v>
      </c>
      <c r="O270" s="13">
        <f>vlookup(N270,Interview_Slots!$A$1:$D$5,3,false)</f>
        <v>70</v>
      </c>
      <c r="P270" s="13">
        <f>vlookup(N270,Interview_Slots!$A$1:$D$5,4,false)</f>
        <v>80</v>
      </c>
      <c r="Q270" s="13" t="str">
        <f t="shared" si="3"/>
        <v>Not Eligible</v>
      </c>
    </row>
    <row r="271" ht="15.75" hidden="1" customHeight="1">
      <c r="A271" s="8" t="s">
        <v>560</v>
      </c>
      <c r="B271" s="8" t="s">
        <v>561</v>
      </c>
      <c r="C271" s="8" t="s">
        <v>105</v>
      </c>
      <c r="D271" s="9" t="str">
        <f>vlookup(C271,Dept_Lookup!A$1:B$17,2,false)</f>
        <v>Civil</v>
      </c>
      <c r="E271" s="14">
        <v>45913.0</v>
      </c>
      <c r="F271" s="10">
        <f t="shared" si="1"/>
        <v>45913</v>
      </c>
      <c r="G271" s="8">
        <v>60.0</v>
      </c>
      <c r="H271" s="8">
        <v>55.0</v>
      </c>
      <c r="I271" s="8">
        <v>67.0</v>
      </c>
      <c r="J271" s="11">
        <f>G271*Scoring_Weights!B$2+H271*Scoring_Weights!B$3+I271*Scoring_Weights!B$4</f>
        <v>61.75</v>
      </c>
      <c r="K271" s="12">
        <v>0.78</v>
      </c>
      <c r="L271" s="8">
        <v>0.81</v>
      </c>
      <c r="M271" s="12">
        <f t="shared" si="2"/>
        <v>0.81</v>
      </c>
      <c r="N271" s="8" t="s">
        <v>272</v>
      </c>
      <c r="O271" s="13">
        <f>vlookup(N271,Interview_Slots!$A$1:$D$5,3,false)</f>
        <v>70</v>
      </c>
      <c r="P271" s="13">
        <f>vlookup(N271,Interview_Slots!$A$1:$D$5,4,false)</f>
        <v>80</v>
      </c>
      <c r="Q271" s="13" t="str">
        <f t="shared" si="3"/>
        <v>Not Eligible</v>
      </c>
    </row>
    <row r="272" ht="15.75" customHeight="1">
      <c r="A272" s="8" t="s">
        <v>562</v>
      </c>
      <c r="B272" s="8" t="s">
        <v>43</v>
      </c>
      <c r="C272" s="8" t="s">
        <v>44</v>
      </c>
      <c r="D272" s="9" t="str">
        <f>vlookup(C272,Dept_Lookup!A$1:B$17,2,false)</f>
        <v>Computer Science</v>
      </c>
      <c r="E272" s="14">
        <v>45903.0</v>
      </c>
      <c r="F272" s="10">
        <f t="shared" si="1"/>
        <v>45903</v>
      </c>
      <c r="G272" s="8">
        <v>88.0</v>
      </c>
      <c r="H272" s="8">
        <v>99.0</v>
      </c>
      <c r="I272" s="8">
        <v>100.0</v>
      </c>
      <c r="J272" s="11">
        <f>G272*Scoring_Weights!B$2+H272*Scoring_Weights!B$3+I272*Scoring_Weights!B$4</f>
        <v>97.85</v>
      </c>
      <c r="K272" s="12">
        <v>0.77</v>
      </c>
      <c r="L272" s="8">
        <v>0.84</v>
      </c>
      <c r="M272" s="12">
        <f t="shared" si="2"/>
        <v>0.84</v>
      </c>
      <c r="N272" s="8" t="s">
        <v>563</v>
      </c>
      <c r="O272" s="13">
        <f>vlookup(N272,Interview_Slots!$A$1:$D$5,3,false)</f>
        <v>60</v>
      </c>
      <c r="P272" s="13">
        <f>vlookup(N272,Interview_Slots!$A$1:$D$5,4,false)</f>
        <v>70</v>
      </c>
      <c r="Q272" s="13" t="str">
        <f t="shared" si="3"/>
        <v>Eligible</v>
      </c>
      <c r="R272" s="7" t="s">
        <v>22</v>
      </c>
    </row>
    <row r="273" ht="15.75" customHeight="1">
      <c r="A273" s="8" t="s">
        <v>564</v>
      </c>
      <c r="B273" s="8" t="s">
        <v>565</v>
      </c>
      <c r="C273" s="8" t="s">
        <v>72</v>
      </c>
      <c r="D273" s="9" t="str">
        <f>vlookup(C273,Dept_Lookup!A$1:B$17,2,false)</f>
        <v>Mechanical</v>
      </c>
      <c r="E273" s="9">
        <v>45874.0</v>
      </c>
      <c r="F273" s="10">
        <f t="shared" si="1"/>
        <v>45874</v>
      </c>
      <c r="G273" s="8">
        <v>98.0</v>
      </c>
      <c r="H273" s="8">
        <v>92.0</v>
      </c>
      <c r="I273" s="8">
        <v>96.0</v>
      </c>
      <c r="J273" s="11">
        <f>G273*Scoring_Weights!B$2+H273*Scoring_Weights!B$3+I273*Scoring_Weights!B$4</f>
        <v>94.9</v>
      </c>
      <c r="K273" s="12">
        <v>0.77</v>
      </c>
      <c r="L273" s="8">
        <v>0.75</v>
      </c>
      <c r="M273" s="12">
        <f t="shared" si="2"/>
        <v>0.75</v>
      </c>
      <c r="N273" s="8" t="s">
        <v>563</v>
      </c>
      <c r="O273" s="13">
        <f>vlookup(N273,Interview_Slots!$A$1:$D$5,3,false)</f>
        <v>60</v>
      </c>
      <c r="P273" s="13">
        <f>vlookup(N273,Interview_Slots!$A$1:$D$5,4,false)</f>
        <v>70</v>
      </c>
      <c r="Q273" s="13" t="str">
        <f t="shared" si="3"/>
        <v>Eligible</v>
      </c>
      <c r="R273" s="7" t="s">
        <v>22</v>
      </c>
    </row>
    <row r="274" ht="15.75" customHeight="1">
      <c r="A274" s="8" t="s">
        <v>566</v>
      </c>
      <c r="B274" s="8" t="s">
        <v>567</v>
      </c>
      <c r="C274" s="8" t="s">
        <v>161</v>
      </c>
      <c r="D274" s="9" t="str">
        <f>vlookup(C274,Dept_Lookup!A$1:B$17,2,false)</f>
        <v>Mechanical</v>
      </c>
      <c r="E274" s="14">
        <v>45858.0</v>
      </c>
      <c r="F274" s="10">
        <f t="shared" si="1"/>
        <v>45858</v>
      </c>
      <c r="G274" s="8">
        <v>78.0</v>
      </c>
      <c r="H274" s="8">
        <v>93.0</v>
      </c>
      <c r="I274" s="8">
        <v>98.0</v>
      </c>
      <c r="J274" s="11">
        <f>G274*Scoring_Weights!B$2+H274*Scoring_Weights!B$3+I274*Scoring_Weights!B$4</f>
        <v>93.25</v>
      </c>
      <c r="K274" s="12">
        <v>0.78</v>
      </c>
      <c r="L274" s="8">
        <v>0.86</v>
      </c>
      <c r="M274" s="12">
        <f t="shared" si="2"/>
        <v>0.86</v>
      </c>
      <c r="N274" s="8" t="s">
        <v>563</v>
      </c>
      <c r="O274" s="13">
        <f>vlookup(N274,Interview_Slots!$A$1:$D$5,3,false)</f>
        <v>60</v>
      </c>
      <c r="P274" s="13">
        <f>vlookup(N274,Interview_Slots!$A$1:$D$5,4,false)</f>
        <v>70</v>
      </c>
      <c r="Q274" s="13" t="str">
        <f t="shared" si="3"/>
        <v>Eligible</v>
      </c>
      <c r="R274" s="7" t="s">
        <v>22</v>
      </c>
    </row>
    <row r="275" ht="15.75" customHeight="1">
      <c r="A275" s="8" t="s">
        <v>568</v>
      </c>
      <c r="B275" s="8" t="s">
        <v>569</v>
      </c>
      <c r="C275" s="8" t="s">
        <v>105</v>
      </c>
      <c r="D275" s="9" t="str">
        <f>vlookup(C275,Dept_Lookup!A$1:B$17,2,false)</f>
        <v>Civil</v>
      </c>
      <c r="E275" s="9">
        <v>45872.0</v>
      </c>
      <c r="F275" s="10">
        <f t="shared" si="1"/>
        <v>45872</v>
      </c>
      <c r="G275" s="8">
        <v>82.0</v>
      </c>
      <c r="H275" s="8">
        <v>98.0</v>
      </c>
      <c r="I275" s="8">
        <v>93.0</v>
      </c>
      <c r="J275" s="11">
        <f>G275*Scoring_Weights!B$2+H275*Scoring_Weights!B$3+I275*Scoring_Weights!B$4</f>
        <v>93.1</v>
      </c>
      <c r="K275" s="12">
        <v>0.87</v>
      </c>
      <c r="L275" s="8">
        <v>0.9</v>
      </c>
      <c r="M275" s="12">
        <f t="shared" si="2"/>
        <v>0.9</v>
      </c>
      <c r="N275" s="8" t="s">
        <v>563</v>
      </c>
      <c r="O275" s="13">
        <f>vlookup(N275,Interview_Slots!$A$1:$D$5,3,false)</f>
        <v>60</v>
      </c>
      <c r="P275" s="13">
        <f>vlookup(N275,Interview_Slots!$A$1:$D$5,4,false)</f>
        <v>70</v>
      </c>
      <c r="Q275" s="13" t="str">
        <f t="shared" si="3"/>
        <v>Eligible</v>
      </c>
      <c r="R275" s="7" t="s">
        <v>22</v>
      </c>
    </row>
    <row r="276" ht="15.75" customHeight="1">
      <c r="A276" s="8" t="s">
        <v>570</v>
      </c>
      <c r="B276" s="8" t="s">
        <v>571</v>
      </c>
      <c r="C276" s="8" t="s">
        <v>161</v>
      </c>
      <c r="D276" s="9" t="str">
        <f>vlookup(C276,Dept_Lookup!A$1:B$17,2,false)</f>
        <v>Mechanical</v>
      </c>
      <c r="E276" s="9">
        <v>45879.0</v>
      </c>
      <c r="F276" s="10">
        <f t="shared" si="1"/>
        <v>45879</v>
      </c>
      <c r="G276" s="8">
        <v>84.0</v>
      </c>
      <c r="H276" s="8">
        <v>99.0</v>
      </c>
      <c r="I276" s="8">
        <v>90.0</v>
      </c>
      <c r="J276" s="11">
        <f>G276*Scoring_Weights!B$2+H276*Scoring_Weights!B$3+I276*Scoring_Weights!B$4</f>
        <v>92.25</v>
      </c>
      <c r="K276" s="12">
        <v>0.85</v>
      </c>
      <c r="L276" s="15">
        <v>0.73</v>
      </c>
      <c r="M276" s="12">
        <f t="shared" si="2"/>
        <v>0.73</v>
      </c>
      <c r="N276" s="8" t="s">
        <v>563</v>
      </c>
      <c r="O276" s="13">
        <f>vlookup(N276,Interview_Slots!$A$1:$D$5,3,false)</f>
        <v>60</v>
      </c>
      <c r="P276" s="13">
        <f>vlookup(N276,Interview_Slots!$A$1:$D$5,4,false)</f>
        <v>70</v>
      </c>
      <c r="Q276" s="13" t="str">
        <f t="shared" si="3"/>
        <v>Eligible</v>
      </c>
      <c r="R276" s="7" t="s">
        <v>22</v>
      </c>
    </row>
    <row r="277" ht="15.75" customHeight="1">
      <c r="A277" s="8" t="s">
        <v>572</v>
      </c>
      <c r="B277" s="8" t="s">
        <v>454</v>
      </c>
      <c r="C277" s="8" t="s">
        <v>41</v>
      </c>
      <c r="D277" s="9" t="str">
        <f>vlookup(C277,Dept_Lookup!A$1:B$17,2,false)</f>
        <v>Mechanical</v>
      </c>
      <c r="E277" s="14">
        <v>45886.0</v>
      </c>
      <c r="F277" s="10">
        <f t="shared" si="1"/>
        <v>45886</v>
      </c>
      <c r="G277" s="8">
        <v>98.0</v>
      </c>
      <c r="H277" s="8">
        <v>81.0</v>
      </c>
      <c r="I277" s="8">
        <v>97.0</v>
      </c>
      <c r="J277" s="11">
        <f>G277*Scoring_Weights!B$2+H277*Scoring_Weights!B$3+I277*Scoring_Weights!B$4</f>
        <v>91.55</v>
      </c>
      <c r="K277" s="12">
        <v>0.78</v>
      </c>
      <c r="L277" s="8">
        <v>0.82</v>
      </c>
      <c r="M277" s="12">
        <f t="shared" si="2"/>
        <v>0.82</v>
      </c>
      <c r="N277" s="8" t="s">
        <v>563</v>
      </c>
      <c r="O277" s="13">
        <f>vlookup(N277,Interview_Slots!$A$1:$D$5,3,false)</f>
        <v>60</v>
      </c>
      <c r="P277" s="13">
        <f>vlookup(N277,Interview_Slots!$A$1:$D$5,4,false)</f>
        <v>70</v>
      </c>
      <c r="Q277" s="13" t="str">
        <f t="shared" si="3"/>
        <v>Eligible</v>
      </c>
      <c r="R277" s="7" t="s">
        <v>22</v>
      </c>
    </row>
    <row r="278" ht="15.75" customHeight="1">
      <c r="A278" s="8" t="s">
        <v>573</v>
      </c>
      <c r="B278" s="8" t="s">
        <v>156</v>
      </c>
      <c r="C278" s="8" t="s">
        <v>105</v>
      </c>
      <c r="D278" s="9" t="str">
        <f>vlookup(C278,Dept_Lookup!A$1:B$17,2,false)</f>
        <v>Civil</v>
      </c>
      <c r="E278" s="14">
        <v>45880.0</v>
      </c>
      <c r="F278" s="10">
        <f t="shared" si="1"/>
        <v>45880</v>
      </c>
      <c r="G278" s="8">
        <v>87.0</v>
      </c>
      <c r="H278" s="8">
        <v>91.0</v>
      </c>
      <c r="I278" s="8">
        <v>91.0</v>
      </c>
      <c r="J278" s="11">
        <f>G278*Scoring_Weights!B$2+H278*Scoring_Weights!B$3+I278*Scoring_Weights!B$4</f>
        <v>90.4</v>
      </c>
      <c r="K278" s="12">
        <v>0.91</v>
      </c>
      <c r="L278" s="8">
        <v>0.84</v>
      </c>
      <c r="M278" s="12">
        <f t="shared" si="2"/>
        <v>0.84</v>
      </c>
      <c r="N278" s="8" t="s">
        <v>563</v>
      </c>
      <c r="O278" s="13">
        <f>vlookup(N278,Interview_Slots!$A$1:$D$5,3,false)</f>
        <v>60</v>
      </c>
      <c r="P278" s="13">
        <f>vlookup(N278,Interview_Slots!$A$1:$D$5,4,false)</f>
        <v>70</v>
      </c>
      <c r="Q278" s="13" t="str">
        <f t="shared" si="3"/>
        <v>Eligible</v>
      </c>
      <c r="R278" s="7" t="s">
        <v>22</v>
      </c>
    </row>
    <row r="279" ht="15.75" customHeight="1">
      <c r="A279" s="8" t="s">
        <v>574</v>
      </c>
      <c r="B279" s="8" t="s">
        <v>575</v>
      </c>
      <c r="C279" s="8" t="s">
        <v>102</v>
      </c>
      <c r="D279" s="9" t="str">
        <f>vlookup(C279,Dept_Lookup!A$1:B$17,2,false)</f>
        <v>Computer Science</v>
      </c>
      <c r="E279" s="14">
        <v>45865.0</v>
      </c>
      <c r="F279" s="10">
        <f t="shared" si="1"/>
        <v>45865</v>
      </c>
      <c r="G279" s="8">
        <v>84.0</v>
      </c>
      <c r="H279" s="8">
        <v>93.0</v>
      </c>
      <c r="I279" s="8">
        <v>90.0</v>
      </c>
      <c r="J279" s="11">
        <f>G279*Scoring_Weights!B$2+H279*Scoring_Weights!B$3+I279*Scoring_Weights!B$4</f>
        <v>90.15</v>
      </c>
      <c r="K279" s="12">
        <v>0.9</v>
      </c>
      <c r="L279" s="8">
        <v>0.96</v>
      </c>
      <c r="M279" s="12">
        <f t="shared" si="2"/>
        <v>0.96</v>
      </c>
      <c r="N279" s="8" t="s">
        <v>563</v>
      </c>
      <c r="O279" s="13">
        <f>vlookup(N279,Interview_Slots!$A$1:$D$5,3,false)</f>
        <v>60</v>
      </c>
      <c r="P279" s="13">
        <f>vlookup(N279,Interview_Slots!$A$1:$D$5,4,false)</f>
        <v>70</v>
      </c>
      <c r="Q279" s="13" t="str">
        <f t="shared" si="3"/>
        <v>Eligible</v>
      </c>
      <c r="R279" s="7" t="s">
        <v>22</v>
      </c>
    </row>
    <row r="280" ht="15.75" customHeight="1">
      <c r="A280" s="8" t="s">
        <v>576</v>
      </c>
      <c r="B280" s="8" t="s">
        <v>322</v>
      </c>
      <c r="C280" s="8" t="s">
        <v>72</v>
      </c>
      <c r="D280" s="9" t="str">
        <f>vlookup(C280,Dept_Lookup!A$1:B$17,2,false)</f>
        <v>Mechanical</v>
      </c>
      <c r="E280" s="9">
        <v>45891.0</v>
      </c>
      <c r="F280" s="10">
        <f t="shared" si="1"/>
        <v>45891</v>
      </c>
      <c r="G280" s="8">
        <v>75.0</v>
      </c>
      <c r="H280" s="8">
        <v>98.0</v>
      </c>
      <c r="I280" s="8">
        <v>87.0</v>
      </c>
      <c r="J280" s="11">
        <f>G280*Scoring_Weights!B$2+H280*Scoring_Weights!B$3+I280*Scoring_Weights!B$4</f>
        <v>89.05</v>
      </c>
      <c r="K280" s="12">
        <v>0.85</v>
      </c>
      <c r="L280" s="8">
        <v>0.83</v>
      </c>
      <c r="M280" s="12">
        <f t="shared" si="2"/>
        <v>0.83</v>
      </c>
      <c r="N280" s="8" t="s">
        <v>563</v>
      </c>
      <c r="O280" s="13">
        <f>vlookup(N280,Interview_Slots!$A$1:$D$5,3,false)</f>
        <v>60</v>
      </c>
      <c r="P280" s="13">
        <f>vlookup(N280,Interview_Slots!$A$1:$D$5,4,false)</f>
        <v>70</v>
      </c>
      <c r="Q280" s="13" t="str">
        <f t="shared" si="3"/>
        <v>Eligible</v>
      </c>
      <c r="R280" s="7" t="s">
        <v>22</v>
      </c>
    </row>
    <row r="281" ht="15.75" customHeight="1">
      <c r="A281" s="8" t="s">
        <v>577</v>
      </c>
      <c r="B281" s="8" t="s">
        <v>578</v>
      </c>
      <c r="C281" s="8" t="s">
        <v>161</v>
      </c>
      <c r="D281" s="9" t="str">
        <f>vlookup(C281,Dept_Lookup!A$1:B$17,2,false)</f>
        <v>Mechanical</v>
      </c>
      <c r="E281" s="14">
        <v>45900.0</v>
      </c>
      <c r="F281" s="10">
        <f t="shared" si="1"/>
        <v>45900</v>
      </c>
      <c r="G281" s="8">
        <v>78.0</v>
      </c>
      <c r="H281" s="8">
        <v>85.0</v>
      </c>
      <c r="I281" s="8">
        <v>95.0</v>
      </c>
      <c r="J281" s="11">
        <f>G281*Scoring_Weights!B$2+H281*Scoring_Weights!B$3+I281*Scoring_Weights!B$4</f>
        <v>88.95</v>
      </c>
      <c r="K281" s="12">
        <v>0.9</v>
      </c>
      <c r="L281" s="8">
        <v>0.91</v>
      </c>
      <c r="M281" s="12">
        <f t="shared" si="2"/>
        <v>0.91</v>
      </c>
      <c r="N281" s="8" t="s">
        <v>563</v>
      </c>
      <c r="O281" s="13">
        <f>vlookup(N281,Interview_Slots!$A$1:$D$5,3,false)</f>
        <v>60</v>
      </c>
      <c r="P281" s="13">
        <f>vlookup(N281,Interview_Slots!$A$1:$D$5,4,false)</f>
        <v>70</v>
      </c>
      <c r="Q281" s="13" t="str">
        <f t="shared" si="3"/>
        <v>Eligible</v>
      </c>
      <c r="R281" s="7" t="s">
        <v>22</v>
      </c>
    </row>
    <row r="282" ht="15.75" customHeight="1">
      <c r="A282" s="8" t="s">
        <v>579</v>
      </c>
      <c r="B282" s="8" t="s">
        <v>580</v>
      </c>
      <c r="C282" s="8" t="s">
        <v>38</v>
      </c>
      <c r="D282" s="9" t="str">
        <f>vlookup(C282,Dept_Lookup!A$1:B$17,2,false)</f>
        <v>Mechanical</v>
      </c>
      <c r="E282" s="14">
        <v>45865.0</v>
      </c>
      <c r="F282" s="10">
        <f t="shared" si="1"/>
        <v>45865</v>
      </c>
      <c r="G282" s="8">
        <v>69.0</v>
      </c>
      <c r="H282" s="8">
        <v>87.0</v>
      </c>
      <c r="I282" s="8">
        <v>96.0</v>
      </c>
      <c r="J282" s="11">
        <f>G282*Scoring_Weights!B$2+H282*Scoring_Weights!B$3+I282*Scoring_Weights!B$4</f>
        <v>88.8</v>
      </c>
      <c r="K282" s="12">
        <v>0.78</v>
      </c>
      <c r="L282" s="8">
        <v>0.86</v>
      </c>
      <c r="M282" s="12">
        <f t="shared" si="2"/>
        <v>0.86</v>
      </c>
      <c r="N282" s="8" t="s">
        <v>563</v>
      </c>
      <c r="O282" s="13">
        <f>vlookup(N282,Interview_Slots!$A$1:$D$5,3,false)</f>
        <v>60</v>
      </c>
      <c r="P282" s="13">
        <f>vlookup(N282,Interview_Slots!$A$1:$D$5,4,false)</f>
        <v>70</v>
      </c>
      <c r="Q282" s="13" t="str">
        <f t="shared" si="3"/>
        <v>Eligible</v>
      </c>
      <c r="R282" s="7" t="s">
        <v>22</v>
      </c>
    </row>
    <row r="283" ht="15.75" customHeight="1">
      <c r="A283" s="8" t="s">
        <v>581</v>
      </c>
      <c r="B283" s="8" t="s">
        <v>582</v>
      </c>
      <c r="C283" s="8" t="s">
        <v>102</v>
      </c>
      <c r="D283" s="9" t="str">
        <f>vlookup(C283,Dept_Lookup!A$1:B$17,2,false)</f>
        <v>Computer Science</v>
      </c>
      <c r="E283" s="14">
        <v>45877.0</v>
      </c>
      <c r="F283" s="10">
        <f t="shared" si="1"/>
        <v>45877</v>
      </c>
      <c r="G283" s="8">
        <v>71.0</v>
      </c>
      <c r="H283" s="8">
        <v>86.0</v>
      </c>
      <c r="I283" s="8">
        <v>96.0</v>
      </c>
      <c r="J283" s="11">
        <f>G283*Scoring_Weights!B$2+H283*Scoring_Weights!B$3+I283*Scoring_Weights!B$4</f>
        <v>88.75</v>
      </c>
      <c r="K283" s="12">
        <v>0.75</v>
      </c>
      <c r="L283" s="8">
        <v>0.85</v>
      </c>
      <c r="M283" s="12">
        <f t="shared" si="2"/>
        <v>0.85</v>
      </c>
      <c r="N283" s="8" t="s">
        <v>563</v>
      </c>
      <c r="O283" s="13">
        <f>vlookup(N283,Interview_Slots!$A$1:$D$5,3,false)</f>
        <v>60</v>
      </c>
      <c r="P283" s="13">
        <f>vlookup(N283,Interview_Slots!$A$1:$D$5,4,false)</f>
        <v>70</v>
      </c>
      <c r="Q283" s="13" t="str">
        <f t="shared" si="3"/>
        <v>Eligible</v>
      </c>
      <c r="R283" s="7" t="s">
        <v>22</v>
      </c>
    </row>
    <row r="284" ht="15.75" customHeight="1">
      <c r="A284" s="8" t="s">
        <v>583</v>
      </c>
      <c r="B284" s="8" t="s">
        <v>584</v>
      </c>
      <c r="C284" s="8" t="s">
        <v>44</v>
      </c>
      <c r="D284" s="9" t="str">
        <f>vlookup(C284,Dept_Lookup!A$1:B$17,2,false)</f>
        <v>Computer Science</v>
      </c>
      <c r="E284" s="9">
        <v>45872.0</v>
      </c>
      <c r="F284" s="10">
        <f t="shared" si="1"/>
        <v>45872</v>
      </c>
      <c r="G284" s="8">
        <v>67.0</v>
      </c>
      <c r="H284" s="8">
        <v>94.0</v>
      </c>
      <c r="I284" s="8">
        <v>90.0</v>
      </c>
      <c r="J284" s="11">
        <f>G284*Scoring_Weights!B$2+H284*Scoring_Weights!B$3+I284*Scoring_Weights!B$4</f>
        <v>87.95</v>
      </c>
      <c r="K284" s="12">
        <v>0.83</v>
      </c>
      <c r="L284" s="8">
        <v>0.82</v>
      </c>
      <c r="M284" s="12">
        <f t="shared" si="2"/>
        <v>0.82</v>
      </c>
      <c r="N284" s="8" t="s">
        <v>563</v>
      </c>
      <c r="O284" s="13">
        <f>vlookup(N284,Interview_Slots!$A$1:$D$5,3,false)</f>
        <v>60</v>
      </c>
      <c r="P284" s="13">
        <f>vlookup(N284,Interview_Slots!$A$1:$D$5,4,false)</f>
        <v>70</v>
      </c>
      <c r="Q284" s="13" t="str">
        <f t="shared" si="3"/>
        <v>Eligible</v>
      </c>
      <c r="R284" s="7" t="s">
        <v>22</v>
      </c>
    </row>
    <row r="285" ht="15.75" customHeight="1">
      <c r="A285" s="8" t="s">
        <v>585</v>
      </c>
      <c r="B285" s="8" t="s">
        <v>586</v>
      </c>
      <c r="C285" s="8" t="s">
        <v>44</v>
      </c>
      <c r="D285" s="9" t="str">
        <f>vlookup(C285,Dept_Lookup!A$1:B$17,2,false)</f>
        <v>Computer Science</v>
      </c>
      <c r="E285" s="14">
        <v>45913.0</v>
      </c>
      <c r="F285" s="10">
        <f t="shared" si="1"/>
        <v>45913</v>
      </c>
      <c r="G285" s="8">
        <v>74.0</v>
      </c>
      <c r="H285" s="8">
        <v>96.0</v>
      </c>
      <c r="I285" s="8">
        <v>86.0</v>
      </c>
      <c r="J285" s="11">
        <f>G285*Scoring_Weights!B$2+H285*Scoring_Weights!B$3+I285*Scoring_Weights!B$4</f>
        <v>87.7</v>
      </c>
      <c r="K285" s="12">
        <v>0.75</v>
      </c>
      <c r="L285" s="8">
        <v>0.93</v>
      </c>
      <c r="M285" s="12">
        <f t="shared" si="2"/>
        <v>0.93</v>
      </c>
      <c r="N285" s="8" t="s">
        <v>563</v>
      </c>
      <c r="O285" s="13">
        <f>vlookup(N285,Interview_Slots!$A$1:$D$5,3,false)</f>
        <v>60</v>
      </c>
      <c r="P285" s="13">
        <f>vlookup(N285,Interview_Slots!$A$1:$D$5,4,false)</f>
        <v>70</v>
      </c>
      <c r="Q285" s="13" t="str">
        <f t="shared" si="3"/>
        <v>Eligible</v>
      </c>
      <c r="R285" s="7" t="s">
        <v>22</v>
      </c>
    </row>
    <row r="286" ht="15.75" customHeight="1">
      <c r="A286" s="8" t="s">
        <v>587</v>
      </c>
      <c r="B286" s="8" t="s">
        <v>588</v>
      </c>
      <c r="C286" s="8" t="s">
        <v>20</v>
      </c>
      <c r="D286" s="9" t="str">
        <f>vlookup(C286,Dept_Lookup!A$1:B$17,2,false)</f>
        <v>Electronics</v>
      </c>
      <c r="E286" s="14">
        <v>45877.0</v>
      </c>
      <c r="F286" s="10">
        <f t="shared" si="1"/>
        <v>45877</v>
      </c>
      <c r="G286" s="8">
        <v>71.0</v>
      </c>
      <c r="H286" s="8">
        <v>96.0</v>
      </c>
      <c r="I286" s="8">
        <v>86.0</v>
      </c>
      <c r="J286" s="11">
        <f>G286*Scoring_Weights!B$2+H286*Scoring_Weights!B$3+I286*Scoring_Weights!B$4</f>
        <v>87.25</v>
      </c>
      <c r="K286" s="12">
        <v>0.77</v>
      </c>
      <c r="L286" s="12">
        <v>0.88</v>
      </c>
      <c r="M286" s="12">
        <f t="shared" si="2"/>
        <v>0.88</v>
      </c>
      <c r="N286" s="8" t="s">
        <v>563</v>
      </c>
      <c r="O286" s="13">
        <f>vlookup(N286,Interview_Slots!$A$1:$D$5,3,false)</f>
        <v>60</v>
      </c>
      <c r="P286" s="13">
        <f>vlookup(N286,Interview_Slots!$A$1:$D$5,4,false)</f>
        <v>70</v>
      </c>
      <c r="Q286" s="13" t="str">
        <f t="shared" si="3"/>
        <v>Eligible</v>
      </c>
      <c r="R286" s="7" t="s">
        <v>22</v>
      </c>
    </row>
    <row r="287" ht="15.75" customHeight="1">
      <c r="A287" s="8" t="s">
        <v>589</v>
      </c>
      <c r="B287" s="8" t="s">
        <v>590</v>
      </c>
      <c r="C287" s="8" t="s">
        <v>102</v>
      </c>
      <c r="D287" s="9" t="str">
        <f>vlookup(C287,Dept_Lookup!A$1:B$17,2,false)</f>
        <v>Computer Science</v>
      </c>
      <c r="E287" s="9">
        <v>45890.0</v>
      </c>
      <c r="F287" s="10">
        <f t="shared" si="1"/>
        <v>45890</v>
      </c>
      <c r="G287" s="8">
        <v>76.0</v>
      </c>
      <c r="H287" s="8">
        <v>98.0</v>
      </c>
      <c r="I287" s="8">
        <v>83.0</v>
      </c>
      <c r="J287" s="11">
        <f>G287*Scoring_Weights!B$2+H287*Scoring_Weights!B$3+I287*Scoring_Weights!B$4</f>
        <v>87.2</v>
      </c>
      <c r="K287" s="12">
        <v>0.85</v>
      </c>
      <c r="L287" s="8">
        <v>0.87</v>
      </c>
      <c r="M287" s="12">
        <f t="shared" si="2"/>
        <v>0.87</v>
      </c>
      <c r="N287" s="8" t="s">
        <v>563</v>
      </c>
      <c r="O287" s="13">
        <f>vlookup(N287,Interview_Slots!$A$1:$D$5,3,false)</f>
        <v>60</v>
      </c>
      <c r="P287" s="13">
        <f>vlookup(N287,Interview_Slots!$A$1:$D$5,4,false)</f>
        <v>70</v>
      </c>
      <c r="Q287" s="13" t="str">
        <f t="shared" si="3"/>
        <v>Eligible</v>
      </c>
      <c r="R287" s="7" t="s">
        <v>22</v>
      </c>
    </row>
    <row r="288" ht="15.75" customHeight="1">
      <c r="A288" s="8" t="s">
        <v>591</v>
      </c>
      <c r="B288" s="8" t="s">
        <v>592</v>
      </c>
      <c r="C288" s="8" t="s">
        <v>72</v>
      </c>
      <c r="D288" s="9" t="str">
        <f>vlookup(C288,Dept_Lookup!A$1:B$17,2,false)</f>
        <v>Mechanical</v>
      </c>
      <c r="E288" s="9">
        <v>45870.0</v>
      </c>
      <c r="F288" s="10">
        <f t="shared" si="1"/>
        <v>45870</v>
      </c>
      <c r="G288" s="8">
        <v>88.0</v>
      </c>
      <c r="H288" s="8">
        <v>76.0</v>
      </c>
      <c r="I288" s="8">
        <v>94.0</v>
      </c>
      <c r="J288" s="11">
        <f>G288*Scoring_Weights!B$2+H288*Scoring_Weights!B$3+I288*Scoring_Weights!B$4</f>
        <v>86.8</v>
      </c>
      <c r="K288" s="12">
        <v>0.91</v>
      </c>
      <c r="L288" s="8">
        <v>0.81</v>
      </c>
      <c r="M288" s="12">
        <f t="shared" si="2"/>
        <v>0.81</v>
      </c>
      <c r="N288" s="8" t="s">
        <v>563</v>
      </c>
      <c r="O288" s="13">
        <f>vlookup(N288,Interview_Slots!$A$1:$D$5,3,false)</f>
        <v>60</v>
      </c>
      <c r="P288" s="13">
        <f>vlookup(N288,Interview_Slots!$A$1:$D$5,4,false)</f>
        <v>70</v>
      </c>
      <c r="Q288" s="13" t="str">
        <f t="shared" si="3"/>
        <v>Eligible</v>
      </c>
      <c r="R288" s="7" t="s">
        <v>22</v>
      </c>
    </row>
    <row r="289" ht="15.75" customHeight="1">
      <c r="A289" s="8" t="s">
        <v>593</v>
      </c>
      <c r="B289" s="8" t="s">
        <v>594</v>
      </c>
      <c r="C289" s="8" t="s">
        <v>28</v>
      </c>
      <c r="D289" s="9" t="str">
        <f>vlookup(C289,Dept_Lookup!A$1:B$17,2,false)</f>
        <v>Electronics</v>
      </c>
      <c r="E289" s="14">
        <v>45929.0</v>
      </c>
      <c r="F289" s="10">
        <f t="shared" si="1"/>
        <v>45929</v>
      </c>
      <c r="G289" s="8">
        <v>63.0</v>
      </c>
      <c r="H289" s="8">
        <v>82.0</v>
      </c>
      <c r="I289" s="8">
        <v>97.0</v>
      </c>
      <c r="J289" s="11">
        <f>G289*Scoring_Weights!B$2+H289*Scoring_Weights!B$3+I289*Scoring_Weights!B$4</f>
        <v>86.65</v>
      </c>
      <c r="K289" s="12">
        <v>0.78</v>
      </c>
      <c r="L289" s="8">
        <v>0.79</v>
      </c>
      <c r="M289" s="12">
        <f t="shared" si="2"/>
        <v>0.79</v>
      </c>
      <c r="N289" s="8" t="s">
        <v>563</v>
      </c>
      <c r="O289" s="13">
        <f>vlookup(N289,Interview_Slots!$A$1:$D$5,3,false)</f>
        <v>60</v>
      </c>
      <c r="P289" s="13">
        <f>vlookup(N289,Interview_Slots!$A$1:$D$5,4,false)</f>
        <v>70</v>
      </c>
      <c r="Q289" s="13" t="str">
        <f t="shared" si="3"/>
        <v>Eligible</v>
      </c>
      <c r="R289" s="7" t="s">
        <v>22</v>
      </c>
    </row>
    <row r="290" ht="15.75" customHeight="1">
      <c r="A290" s="8" t="s">
        <v>595</v>
      </c>
      <c r="B290" s="8" t="s">
        <v>596</v>
      </c>
      <c r="C290" s="8" t="s">
        <v>20</v>
      </c>
      <c r="D290" s="9" t="str">
        <f>vlookup(C290,Dept_Lookup!A$1:B$17,2,false)</f>
        <v>Electronics</v>
      </c>
      <c r="E290" s="14">
        <v>45865.0</v>
      </c>
      <c r="F290" s="10">
        <f t="shared" si="1"/>
        <v>45865</v>
      </c>
      <c r="G290" s="8">
        <v>89.0</v>
      </c>
      <c r="H290" s="8">
        <v>95.0</v>
      </c>
      <c r="I290" s="8">
        <v>80.0</v>
      </c>
      <c r="J290" s="11">
        <f>G290*Scoring_Weights!B$2+H290*Scoring_Weights!B$3+I290*Scoring_Weights!B$4</f>
        <v>86.6</v>
      </c>
      <c r="K290" s="12">
        <v>0.86</v>
      </c>
      <c r="L290" s="8">
        <v>0.99</v>
      </c>
      <c r="M290" s="12">
        <f t="shared" si="2"/>
        <v>0.99</v>
      </c>
      <c r="N290" s="8" t="s">
        <v>563</v>
      </c>
      <c r="O290" s="13">
        <f>vlookup(N290,Interview_Slots!$A$1:$D$5,3,false)</f>
        <v>60</v>
      </c>
      <c r="P290" s="13">
        <f>vlookup(N290,Interview_Slots!$A$1:$D$5,4,false)</f>
        <v>70</v>
      </c>
      <c r="Q290" s="13" t="str">
        <f t="shared" si="3"/>
        <v>Eligible</v>
      </c>
      <c r="R290" s="7" t="s">
        <v>22</v>
      </c>
    </row>
    <row r="291" ht="15.75" customHeight="1">
      <c r="A291" s="8" t="s">
        <v>597</v>
      </c>
      <c r="B291" s="8" t="s">
        <v>389</v>
      </c>
      <c r="C291" s="8" t="s">
        <v>47</v>
      </c>
      <c r="D291" s="9" t="str">
        <f>vlookup(C291,Dept_Lookup!A$1:B$17,2,false)</f>
        <v>Civil</v>
      </c>
      <c r="E291" s="9">
        <v>45889.0</v>
      </c>
      <c r="F291" s="10">
        <f t="shared" si="1"/>
        <v>45889</v>
      </c>
      <c r="G291" s="8">
        <v>98.0</v>
      </c>
      <c r="H291" s="8">
        <v>88.0</v>
      </c>
      <c r="I291" s="8">
        <v>82.0</v>
      </c>
      <c r="J291" s="11">
        <f>G291*Scoring_Weights!B$2+H291*Scoring_Weights!B$3+I291*Scoring_Weights!B$4</f>
        <v>86.5</v>
      </c>
      <c r="K291" s="12">
        <v>0.86</v>
      </c>
      <c r="L291" s="8">
        <v>0.8</v>
      </c>
      <c r="M291" s="12">
        <f t="shared" si="2"/>
        <v>0.8</v>
      </c>
      <c r="N291" s="8" t="s">
        <v>563</v>
      </c>
      <c r="O291" s="13">
        <f>vlookup(N291,Interview_Slots!$A$1:$D$5,3,false)</f>
        <v>60</v>
      </c>
      <c r="P291" s="13">
        <f>vlookup(N291,Interview_Slots!$A$1:$D$5,4,false)</f>
        <v>70</v>
      </c>
      <c r="Q291" s="13" t="str">
        <f t="shared" si="3"/>
        <v>Eligible</v>
      </c>
      <c r="R291" s="7" t="s">
        <v>22</v>
      </c>
    </row>
    <row r="292" ht="15.75" customHeight="1">
      <c r="A292" s="8" t="s">
        <v>598</v>
      </c>
      <c r="B292" s="8" t="s">
        <v>599</v>
      </c>
      <c r="C292" s="8" t="s">
        <v>20</v>
      </c>
      <c r="D292" s="9" t="str">
        <f>vlookup(C292,Dept_Lookup!A$1:B$17,2,false)</f>
        <v>Electronics</v>
      </c>
      <c r="E292" s="9">
        <v>45872.0</v>
      </c>
      <c r="F292" s="10">
        <f t="shared" si="1"/>
        <v>45872</v>
      </c>
      <c r="G292" s="8">
        <v>72.0</v>
      </c>
      <c r="H292" s="8">
        <v>85.0</v>
      </c>
      <c r="I292" s="8">
        <v>91.0</v>
      </c>
      <c r="J292" s="11">
        <f>G292*Scoring_Weights!B$2+H292*Scoring_Weights!B$3+I292*Scoring_Weights!B$4</f>
        <v>86.05</v>
      </c>
      <c r="K292" s="12">
        <v>0.89</v>
      </c>
      <c r="L292" s="8">
        <v>0.92</v>
      </c>
      <c r="M292" s="12">
        <f t="shared" si="2"/>
        <v>0.92</v>
      </c>
      <c r="N292" s="8" t="s">
        <v>563</v>
      </c>
      <c r="O292" s="13">
        <f>vlookup(N292,Interview_Slots!$A$1:$D$5,3,false)</f>
        <v>60</v>
      </c>
      <c r="P292" s="13">
        <f>vlookup(N292,Interview_Slots!$A$1:$D$5,4,false)</f>
        <v>70</v>
      </c>
      <c r="Q292" s="13" t="str">
        <f t="shared" si="3"/>
        <v>Eligible</v>
      </c>
      <c r="R292" s="7" t="s">
        <v>22</v>
      </c>
    </row>
    <row r="293" ht="15.75" customHeight="1">
      <c r="A293" s="8" t="s">
        <v>600</v>
      </c>
      <c r="B293" s="8" t="s">
        <v>424</v>
      </c>
      <c r="C293" s="8" t="s">
        <v>47</v>
      </c>
      <c r="D293" s="9" t="str">
        <f>vlookup(C293,Dept_Lookup!A$1:B$17,2,false)</f>
        <v>Civil</v>
      </c>
      <c r="E293" s="9">
        <v>45897.0</v>
      </c>
      <c r="F293" s="10">
        <f t="shared" si="1"/>
        <v>45897</v>
      </c>
      <c r="G293" s="8">
        <v>80.0</v>
      </c>
      <c r="H293" s="8">
        <v>89.0</v>
      </c>
      <c r="I293" s="8">
        <v>85.0</v>
      </c>
      <c r="J293" s="11">
        <f>G293*Scoring_Weights!B$2+H293*Scoring_Weights!B$3+I293*Scoring_Weights!B$4</f>
        <v>85.65</v>
      </c>
      <c r="K293" s="12">
        <v>0.92</v>
      </c>
      <c r="L293" s="8">
        <v>0.75</v>
      </c>
      <c r="M293" s="12">
        <f t="shared" si="2"/>
        <v>0.75</v>
      </c>
      <c r="N293" s="8" t="s">
        <v>563</v>
      </c>
      <c r="O293" s="13">
        <f>vlookup(N293,Interview_Slots!$A$1:$D$5,3,false)</f>
        <v>60</v>
      </c>
      <c r="P293" s="13">
        <f>vlookup(N293,Interview_Slots!$A$1:$D$5,4,false)</f>
        <v>70</v>
      </c>
      <c r="Q293" s="13" t="str">
        <f t="shared" si="3"/>
        <v>Eligible</v>
      </c>
      <c r="R293" s="7" t="s">
        <v>22</v>
      </c>
    </row>
    <row r="294" ht="15.75" customHeight="1">
      <c r="A294" s="8" t="s">
        <v>601</v>
      </c>
      <c r="B294" s="8" t="s">
        <v>602</v>
      </c>
      <c r="C294" s="8" t="s">
        <v>50</v>
      </c>
      <c r="D294" s="9" t="str">
        <f>vlookup(C294,Dept_Lookup!A$1:B$17,2,false)</f>
        <v>Electronics</v>
      </c>
      <c r="E294" s="9">
        <v>45878.0</v>
      </c>
      <c r="F294" s="10">
        <f t="shared" si="1"/>
        <v>45878</v>
      </c>
      <c r="G294" s="8">
        <v>71.0</v>
      </c>
      <c r="H294" s="8">
        <v>88.0</v>
      </c>
      <c r="I294" s="8">
        <v>88.0</v>
      </c>
      <c r="J294" s="11">
        <f>G294*Scoring_Weights!B$2+H294*Scoring_Weights!B$3+I294*Scoring_Weights!B$4</f>
        <v>85.45</v>
      </c>
      <c r="K294" s="12">
        <v>0.92</v>
      </c>
      <c r="L294" s="8">
        <v>0.83</v>
      </c>
      <c r="M294" s="12">
        <f t="shared" si="2"/>
        <v>0.83</v>
      </c>
      <c r="N294" s="8" t="s">
        <v>563</v>
      </c>
      <c r="O294" s="13">
        <f>vlookup(N294,Interview_Slots!$A$1:$D$5,3,false)</f>
        <v>60</v>
      </c>
      <c r="P294" s="13">
        <f>vlookup(N294,Interview_Slots!$A$1:$D$5,4,false)</f>
        <v>70</v>
      </c>
      <c r="Q294" s="13" t="str">
        <f t="shared" si="3"/>
        <v>Eligible</v>
      </c>
      <c r="R294" s="7" t="s">
        <v>22</v>
      </c>
    </row>
    <row r="295" ht="15.75" customHeight="1">
      <c r="A295" s="8" t="s">
        <v>603</v>
      </c>
      <c r="B295" s="8" t="s">
        <v>604</v>
      </c>
      <c r="C295" s="8" t="s">
        <v>50</v>
      </c>
      <c r="D295" s="9" t="str">
        <f>vlookup(C295,Dept_Lookup!A$1:B$17,2,false)</f>
        <v>Electronics</v>
      </c>
      <c r="E295" s="14">
        <v>45865.0</v>
      </c>
      <c r="F295" s="10">
        <f t="shared" si="1"/>
        <v>45865</v>
      </c>
      <c r="G295" s="8">
        <v>58.0</v>
      </c>
      <c r="H295" s="8">
        <v>92.0</v>
      </c>
      <c r="I295" s="8">
        <v>89.0</v>
      </c>
      <c r="J295" s="11">
        <f>G295*Scoring_Weights!B$2+H295*Scoring_Weights!B$3+I295*Scoring_Weights!B$4</f>
        <v>85.4</v>
      </c>
      <c r="K295" s="12">
        <v>0.94</v>
      </c>
      <c r="L295" s="12">
        <v>0.77</v>
      </c>
      <c r="M295" s="12">
        <f t="shared" si="2"/>
        <v>0.77</v>
      </c>
      <c r="N295" s="8" t="s">
        <v>563</v>
      </c>
      <c r="O295" s="13">
        <f>vlookup(N295,Interview_Slots!$A$1:$D$5,3,false)</f>
        <v>60</v>
      </c>
      <c r="P295" s="13">
        <f>vlookup(N295,Interview_Slots!$A$1:$D$5,4,false)</f>
        <v>70</v>
      </c>
      <c r="Q295" s="13" t="str">
        <f t="shared" si="3"/>
        <v>Eligible</v>
      </c>
      <c r="R295" s="7" t="s">
        <v>22</v>
      </c>
    </row>
    <row r="296" ht="15.75" customHeight="1">
      <c r="A296" s="8" t="s">
        <v>605</v>
      </c>
      <c r="B296" s="8" t="s">
        <v>606</v>
      </c>
      <c r="C296" s="8" t="s">
        <v>41</v>
      </c>
      <c r="D296" s="9" t="str">
        <f>vlookup(C296,Dept_Lookup!A$1:B$17,2,false)</f>
        <v>Mechanical</v>
      </c>
      <c r="E296" s="9">
        <v>45893.0</v>
      </c>
      <c r="F296" s="10">
        <f t="shared" si="1"/>
        <v>45893</v>
      </c>
      <c r="G296" s="8">
        <v>82.0</v>
      </c>
      <c r="H296" s="8">
        <v>91.0</v>
      </c>
      <c r="I296" s="8">
        <v>81.0</v>
      </c>
      <c r="J296" s="11">
        <f>G296*Scoring_Weights!B$2+H296*Scoring_Weights!B$3+I296*Scoring_Weights!B$4</f>
        <v>84.65</v>
      </c>
      <c r="K296" s="12">
        <v>0.94</v>
      </c>
      <c r="L296" s="8">
        <v>0.98</v>
      </c>
      <c r="M296" s="12">
        <f t="shared" si="2"/>
        <v>0.98</v>
      </c>
      <c r="N296" s="8" t="s">
        <v>563</v>
      </c>
      <c r="O296" s="13">
        <f>vlookup(N296,Interview_Slots!$A$1:$D$5,3,false)</f>
        <v>60</v>
      </c>
      <c r="P296" s="13">
        <f>vlookup(N296,Interview_Slots!$A$1:$D$5,4,false)</f>
        <v>70</v>
      </c>
      <c r="Q296" s="13" t="str">
        <f t="shared" si="3"/>
        <v>Eligible</v>
      </c>
      <c r="R296" s="7" t="s">
        <v>22</v>
      </c>
    </row>
    <row r="297" ht="15.75" customHeight="1">
      <c r="A297" s="8" t="s">
        <v>607</v>
      </c>
      <c r="B297" s="8" t="s">
        <v>19</v>
      </c>
      <c r="C297" s="8" t="s">
        <v>20</v>
      </c>
      <c r="D297" s="9" t="str">
        <f>vlookup(C297,Dept_Lookup!A$1:B$17,2,false)</f>
        <v>Electronics</v>
      </c>
      <c r="E297" s="9">
        <v>45868.0</v>
      </c>
      <c r="F297" s="10">
        <f t="shared" si="1"/>
        <v>45868</v>
      </c>
      <c r="G297" s="8">
        <v>76.0</v>
      </c>
      <c r="H297" s="8">
        <v>76.0</v>
      </c>
      <c r="I297" s="8">
        <v>93.0</v>
      </c>
      <c r="J297" s="11">
        <f>G297*Scoring_Weights!B$2+H297*Scoring_Weights!B$3+I297*Scoring_Weights!B$4</f>
        <v>84.5</v>
      </c>
      <c r="K297" s="12">
        <v>0.85</v>
      </c>
      <c r="L297" s="12">
        <v>0.76</v>
      </c>
      <c r="M297" s="12">
        <f t="shared" si="2"/>
        <v>0.76</v>
      </c>
      <c r="N297" s="8" t="s">
        <v>563</v>
      </c>
      <c r="O297" s="13">
        <f>vlookup(N297,Interview_Slots!$A$1:$D$5,3,false)</f>
        <v>60</v>
      </c>
      <c r="P297" s="13">
        <f>vlookup(N297,Interview_Slots!$A$1:$D$5,4,false)</f>
        <v>70</v>
      </c>
      <c r="Q297" s="13" t="str">
        <f t="shared" si="3"/>
        <v>Eligible</v>
      </c>
      <c r="R297" s="7" t="s">
        <v>22</v>
      </c>
    </row>
    <row r="298" ht="15.75" customHeight="1">
      <c r="A298" s="8" t="s">
        <v>608</v>
      </c>
      <c r="B298" s="8" t="s">
        <v>609</v>
      </c>
      <c r="C298" s="8" t="s">
        <v>25</v>
      </c>
      <c r="D298" s="9" t="str">
        <f>vlookup(C298,Dept_Lookup!A$1:B$17,2,false)</f>
        <v>Computer Science</v>
      </c>
      <c r="E298" s="14">
        <v>45854.0</v>
      </c>
      <c r="F298" s="10">
        <f t="shared" si="1"/>
        <v>45854</v>
      </c>
      <c r="G298" s="8">
        <v>98.0</v>
      </c>
      <c r="H298" s="8">
        <v>98.0</v>
      </c>
      <c r="I298" s="8">
        <v>71.0</v>
      </c>
      <c r="J298" s="11">
        <f>G298*Scoring_Weights!B$2+H298*Scoring_Weights!B$3+I298*Scoring_Weights!B$4</f>
        <v>84.5</v>
      </c>
      <c r="K298" s="12">
        <v>0.82</v>
      </c>
      <c r="L298" s="8">
        <v>0.87</v>
      </c>
      <c r="M298" s="12">
        <f t="shared" si="2"/>
        <v>0.87</v>
      </c>
      <c r="N298" s="8" t="s">
        <v>563</v>
      </c>
      <c r="O298" s="13">
        <f>vlookup(N298,Interview_Slots!$A$1:$D$5,3,false)</f>
        <v>60</v>
      </c>
      <c r="P298" s="13">
        <f>vlookup(N298,Interview_Slots!$A$1:$D$5,4,false)</f>
        <v>70</v>
      </c>
      <c r="Q298" s="13" t="str">
        <f t="shared" si="3"/>
        <v>Eligible</v>
      </c>
      <c r="R298" s="7" t="s">
        <v>22</v>
      </c>
    </row>
    <row r="299" ht="15.75" customHeight="1">
      <c r="A299" s="8" t="s">
        <v>610</v>
      </c>
      <c r="B299" s="8" t="s">
        <v>611</v>
      </c>
      <c r="C299" s="8" t="s">
        <v>105</v>
      </c>
      <c r="D299" s="9" t="str">
        <f>vlookup(C299,Dept_Lookup!A$1:B$17,2,false)</f>
        <v>Civil</v>
      </c>
      <c r="E299" s="16">
        <v>45826.0</v>
      </c>
      <c r="F299" s="10">
        <f t="shared" si="1"/>
        <v>45826</v>
      </c>
      <c r="G299" s="8">
        <v>98.0</v>
      </c>
      <c r="H299" s="8">
        <v>98.0</v>
      </c>
      <c r="I299" s="8">
        <v>71.0</v>
      </c>
      <c r="J299" s="11">
        <f>G299*Scoring_Weights!B$2+H299*Scoring_Weights!B$3+I299*Scoring_Weights!B$4</f>
        <v>84.5</v>
      </c>
      <c r="K299" s="12">
        <v>0.82</v>
      </c>
      <c r="L299" s="8">
        <v>0.87</v>
      </c>
      <c r="M299" s="12">
        <f t="shared" si="2"/>
        <v>0.87</v>
      </c>
      <c r="N299" s="8" t="s">
        <v>563</v>
      </c>
      <c r="O299" s="13">
        <f>vlookup(N299,Interview_Slots!$A$1:$D$5,3,false)</f>
        <v>60</v>
      </c>
      <c r="P299" s="13">
        <f>vlookup(N299,Interview_Slots!$A$1:$D$5,4,false)</f>
        <v>70</v>
      </c>
      <c r="Q299" s="13" t="str">
        <f t="shared" si="3"/>
        <v>Eligible</v>
      </c>
      <c r="R299" s="7" t="s">
        <v>22</v>
      </c>
    </row>
    <row r="300" ht="15.75" customHeight="1">
      <c r="A300" s="8" t="s">
        <v>612</v>
      </c>
      <c r="B300" s="8" t="s">
        <v>613</v>
      </c>
      <c r="C300" s="8" t="s">
        <v>35</v>
      </c>
      <c r="D300" s="9" t="str">
        <f>vlookup(C300,Dept_Lookup!A$1:B$17,2,false)</f>
        <v>Electronics</v>
      </c>
      <c r="E300" s="14">
        <v>45880.0</v>
      </c>
      <c r="F300" s="10">
        <f t="shared" si="1"/>
        <v>45880</v>
      </c>
      <c r="G300" s="8">
        <v>91.0</v>
      </c>
      <c r="H300" s="8">
        <v>75.0</v>
      </c>
      <c r="I300" s="8">
        <v>89.0</v>
      </c>
      <c r="J300" s="11">
        <f>G300*Scoring_Weights!B$2+H300*Scoring_Weights!B$3+I300*Scoring_Weights!B$4</f>
        <v>84.4</v>
      </c>
      <c r="K300" s="12">
        <v>0.88</v>
      </c>
      <c r="L300" s="15">
        <v>0.84</v>
      </c>
      <c r="M300" s="12">
        <f t="shared" si="2"/>
        <v>0.84</v>
      </c>
      <c r="N300" s="8" t="s">
        <v>563</v>
      </c>
      <c r="O300" s="13">
        <f>vlookup(N300,Interview_Slots!$A$1:$D$5,3,false)</f>
        <v>60</v>
      </c>
      <c r="P300" s="13">
        <f>vlookup(N300,Interview_Slots!$A$1:$D$5,4,false)</f>
        <v>70</v>
      </c>
      <c r="Q300" s="13" t="str">
        <f t="shared" si="3"/>
        <v>Eligible</v>
      </c>
      <c r="R300" s="7" t="s">
        <v>22</v>
      </c>
    </row>
    <row r="301" ht="15.75" customHeight="1">
      <c r="A301" s="8" t="s">
        <v>614</v>
      </c>
      <c r="B301" s="8" t="s">
        <v>615</v>
      </c>
      <c r="C301" s="8" t="s">
        <v>83</v>
      </c>
      <c r="D301" s="9" t="str">
        <f>vlookup(C301,Dept_Lookup!A$1:B$17,2,false)</f>
        <v>Civil</v>
      </c>
      <c r="E301" s="9">
        <v>45860.0</v>
      </c>
      <c r="F301" s="10">
        <f t="shared" si="1"/>
        <v>45860</v>
      </c>
      <c r="G301" s="8">
        <v>79.0</v>
      </c>
      <c r="H301" s="8">
        <v>91.0</v>
      </c>
      <c r="I301" s="8">
        <v>81.0</v>
      </c>
      <c r="J301" s="11">
        <f>G301*Scoring_Weights!B$2+H301*Scoring_Weights!B$3+I301*Scoring_Weights!B$4</f>
        <v>84.2</v>
      </c>
      <c r="K301" s="12">
        <v>0.87</v>
      </c>
      <c r="L301" s="8">
        <v>0.96</v>
      </c>
      <c r="M301" s="12">
        <f t="shared" si="2"/>
        <v>0.96</v>
      </c>
      <c r="N301" s="8" t="s">
        <v>563</v>
      </c>
      <c r="O301" s="13">
        <f>vlookup(N301,Interview_Slots!$A$1:$D$5,3,false)</f>
        <v>60</v>
      </c>
      <c r="P301" s="13">
        <f>vlookup(N301,Interview_Slots!$A$1:$D$5,4,false)</f>
        <v>70</v>
      </c>
      <c r="Q301" s="13" t="str">
        <f t="shared" si="3"/>
        <v>Eligible</v>
      </c>
      <c r="R301" s="7" t="s">
        <v>22</v>
      </c>
    </row>
    <row r="302" ht="15.75" customHeight="1">
      <c r="A302" s="8" t="s">
        <v>616</v>
      </c>
      <c r="B302" s="8" t="s">
        <v>617</v>
      </c>
      <c r="C302" s="8" t="s">
        <v>102</v>
      </c>
      <c r="D302" s="9" t="str">
        <f>vlookup(C302,Dept_Lookup!A$1:B$17,2,false)</f>
        <v>Computer Science</v>
      </c>
      <c r="E302" s="14">
        <v>45919.0</v>
      </c>
      <c r="F302" s="10">
        <f t="shared" si="1"/>
        <v>45919</v>
      </c>
      <c r="G302" s="8">
        <v>82.0</v>
      </c>
      <c r="H302" s="8">
        <v>75.0</v>
      </c>
      <c r="I302" s="8">
        <v>90.0</v>
      </c>
      <c r="J302" s="11">
        <f>G302*Scoring_Weights!B$2+H302*Scoring_Weights!B$3+I302*Scoring_Weights!B$4</f>
        <v>83.55</v>
      </c>
      <c r="K302" s="12">
        <v>0.88</v>
      </c>
      <c r="L302" s="8">
        <v>0.91</v>
      </c>
      <c r="M302" s="12">
        <f t="shared" si="2"/>
        <v>0.91</v>
      </c>
      <c r="N302" s="8" t="s">
        <v>563</v>
      </c>
      <c r="O302" s="13">
        <f>vlookup(N302,Interview_Slots!$A$1:$D$5,3,false)</f>
        <v>60</v>
      </c>
      <c r="P302" s="13">
        <f>vlookup(N302,Interview_Slots!$A$1:$D$5,4,false)</f>
        <v>70</v>
      </c>
      <c r="Q302" s="13" t="str">
        <f t="shared" si="3"/>
        <v>Eligible</v>
      </c>
      <c r="R302" s="7" t="s">
        <v>22</v>
      </c>
    </row>
    <row r="303" ht="15.75" customHeight="1">
      <c r="A303" s="8" t="s">
        <v>618</v>
      </c>
      <c r="B303" s="8" t="s">
        <v>619</v>
      </c>
      <c r="C303" s="8" t="s">
        <v>41</v>
      </c>
      <c r="D303" s="9" t="str">
        <f>vlookup(C303,Dept_Lookup!A$1:B$17,2,false)</f>
        <v>Mechanical</v>
      </c>
      <c r="E303" s="14">
        <v>45885.0</v>
      </c>
      <c r="F303" s="10">
        <f t="shared" si="1"/>
        <v>45885</v>
      </c>
      <c r="G303" s="8">
        <v>72.0</v>
      </c>
      <c r="H303" s="8">
        <v>95.0</v>
      </c>
      <c r="I303" s="8">
        <v>78.0</v>
      </c>
      <c r="J303" s="11">
        <f>G303*Scoring_Weights!B$2+H303*Scoring_Weights!B$3+I303*Scoring_Weights!B$4</f>
        <v>83.05</v>
      </c>
      <c r="K303" s="12">
        <v>0.81</v>
      </c>
      <c r="L303" s="8">
        <v>0.84</v>
      </c>
      <c r="M303" s="12">
        <f t="shared" si="2"/>
        <v>0.84</v>
      </c>
      <c r="N303" s="8" t="s">
        <v>563</v>
      </c>
      <c r="O303" s="13">
        <f>vlookup(N303,Interview_Slots!$A$1:$D$5,3,false)</f>
        <v>60</v>
      </c>
      <c r="P303" s="13">
        <f>vlookup(N303,Interview_Slots!$A$1:$D$5,4,false)</f>
        <v>70</v>
      </c>
      <c r="Q303" s="13" t="str">
        <f t="shared" si="3"/>
        <v>Eligible</v>
      </c>
      <c r="R303" s="7" t="s">
        <v>22</v>
      </c>
    </row>
    <row r="304" ht="15.75" customHeight="1">
      <c r="A304" s="8" t="s">
        <v>620</v>
      </c>
      <c r="B304" s="8" t="s">
        <v>621</v>
      </c>
      <c r="C304" s="8" t="s">
        <v>38</v>
      </c>
      <c r="D304" s="9" t="str">
        <f>vlookup(C304,Dept_Lookup!A$1:B$17,2,false)</f>
        <v>Mechanical</v>
      </c>
      <c r="E304" s="14">
        <v>45929.0</v>
      </c>
      <c r="F304" s="10">
        <f t="shared" si="1"/>
        <v>45929</v>
      </c>
      <c r="G304" s="8">
        <v>68.0</v>
      </c>
      <c r="H304" s="8">
        <v>88.0</v>
      </c>
      <c r="I304" s="8">
        <v>84.0</v>
      </c>
      <c r="J304" s="11">
        <f>G304*Scoring_Weights!B$2+H304*Scoring_Weights!B$3+I304*Scoring_Weights!B$4</f>
        <v>83</v>
      </c>
      <c r="K304" s="12">
        <v>0.88</v>
      </c>
      <c r="L304" s="8">
        <v>0.83</v>
      </c>
      <c r="M304" s="12">
        <f t="shared" si="2"/>
        <v>0.83</v>
      </c>
      <c r="N304" s="8" t="s">
        <v>563</v>
      </c>
      <c r="O304" s="13">
        <f>vlookup(N304,Interview_Slots!$A$1:$D$5,3,false)</f>
        <v>60</v>
      </c>
      <c r="P304" s="13">
        <f>vlookup(N304,Interview_Slots!$A$1:$D$5,4,false)</f>
        <v>70</v>
      </c>
      <c r="Q304" s="13" t="str">
        <f t="shared" si="3"/>
        <v>Eligible</v>
      </c>
      <c r="R304" s="7" t="s">
        <v>22</v>
      </c>
    </row>
    <row r="305" ht="15.75" customHeight="1">
      <c r="A305" s="8" t="s">
        <v>622</v>
      </c>
      <c r="B305" s="8" t="s">
        <v>315</v>
      </c>
      <c r="C305" s="8" t="s">
        <v>105</v>
      </c>
      <c r="D305" s="9" t="str">
        <f>vlookup(C305,Dept_Lookup!A$1:B$17,2,false)</f>
        <v>Civil</v>
      </c>
      <c r="E305" s="9">
        <v>45880.0</v>
      </c>
      <c r="F305" s="10">
        <f t="shared" si="1"/>
        <v>45880</v>
      </c>
      <c r="G305" s="8">
        <v>86.0</v>
      </c>
      <c r="H305" s="8">
        <v>90.0</v>
      </c>
      <c r="I305" s="8">
        <v>77.0</v>
      </c>
      <c r="J305" s="11">
        <f>G305*Scoring_Weights!B$2+H305*Scoring_Weights!B$3+I305*Scoring_Weights!B$4</f>
        <v>82.9</v>
      </c>
      <c r="K305" s="12">
        <v>0.87</v>
      </c>
      <c r="L305" s="8">
        <v>0.81</v>
      </c>
      <c r="M305" s="12">
        <f t="shared" si="2"/>
        <v>0.81</v>
      </c>
      <c r="N305" s="8" t="s">
        <v>563</v>
      </c>
      <c r="O305" s="13">
        <f>vlookup(N305,Interview_Slots!$A$1:$D$5,3,false)</f>
        <v>60</v>
      </c>
      <c r="P305" s="13">
        <f>vlookup(N305,Interview_Slots!$A$1:$D$5,4,false)</f>
        <v>70</v>
      </c>
      <c r="Q305" s="13" t="str">
        <f t="shared" si="3"/>
        <v>Eligible</v>
      </c>
      <c r="R305" s="7" t="s">
        <v>22</v>
      </c>
    </row>
    <row r="306" ht="15.75" customHeight="1">
      <c r="A306" s="8" t="s">
        <v>623</v>
      </c>
      <c r="B306" s="8" t="s">
        <v>624</v>
      </c>
      <c r="C306" s="8" t="s">
        <v>28</v>
      </c>
      <c r="D306" s="9" t="str">
        <f>vlookup(C306,Dept_Lookup!A$1:B$17,2,false)</f>
        <v>Electronics</v>
      </c>
      <c r="E306" s="14">
        <v>45865.0</v>
      </c>
      <c r="F306" s="10">
        <f t="shared" si="1"/>
        <v>45865</v>
      </c>
      <c r="G306" s="8">
        <v>93.0</v>
      </c>
      <c r="H306" s="8">
        <v>94.0</v>
      </c>
      <c r="I306" s="8">
        <v>72.0</v>
      </c>
      <c r="J306" s="11">
        <f>G306*Scoring_Weights!B$2+H306*Scoring_Weights!B$3+I306*Scoring_Weights!B$4</f>
        <v>82.85</v>
      </c>
      <c r="K306" s="12">
        <v>0.94</v>
      </c>
      <c r="L306" s="8">
        <v>0.75</v>
      </c>
      <c r="M306" s="12">
        <f t="shared" si="2"/>
        <v>0.75</v>
      </c>
      <c r="N306" s="8" t="s">
        <v>563</v>
      </c>
      <c r="O306" s="13">
        <f>vlookup(N306,Interview_Slots!$A$1:$D$5,3,false)</f>
        <v>60</v>
      </c>
      <c r="P306" s="13">
        <f>vlookup(N306,Interview_Slots!$A$1:$D$5,4,false)</f>
        <v>70</v>
      </c>
      <c r="Q306" s="13" t="str">
        <f t="shared" si="3"/>
        <v>Eligible</v>
      </c>
      <c r="R306" s="7" t="s">
        <v>22</v>
      </c>
    </row>
    <row r="307" ht="15.75" customHeight="1">
      <c r="A307" s="8" t="s">
        <v>625</v>
      </c>
      <c r="B307" s="8" t="s">
        <v>626</v>
      </c>
      <c r="C307" s="8" t="s">
        <v>83</v>
      </c>
      <c r="D307" s="9" t="str">
        <f>vlookup(C307,Dept_Lookup!A$1:B$17,2,false)</f>
        <v>Civil</v>
      </c>
      <c r="E307" s="9">
        <v>45887.0</v>
      </c>
      <c r="F307" s="10">
        <f t="shared" si="1"/>
        <v>45887</v>
      </c>
      <c r="G307" s="8">
        <v>90.0</v>
      </c>
      <c r="H307" s="8">
        <v>63.0</v>
      </c>
      <c r="I307" s="8">
        <v>94.0</v>
      </c>
      <c r="J307" s="11">
        <f>G307*Scoring_Weights!B$2+H307*Scoring_Weights!B$3+I307*Scoring_Weights!B$4</f>
        <v>82.55</v>
      </c>
      <c r="K307" s="12">
        <v>0.92</v>
      </c>
      <c r="L307" s="8">
        <v>0.99</v>
      </c>
      <c r="M307" s="12">
        <f t="shared" si="2"/>
        <v>0.99</v>
      </c>
      <c r="N307" s="8" t="s">
        <v>563</v>
      </c>
      <c r="O307" s="13">
        <f>vlookup(N307,Interview_Slots!$A$1:$D$5,3,false)</f>
        <v>60</v>
      </c>
      <c r="P307" s="13">
        <f>vlookup(N307,Interview_Slots!$A$1:$D$5,4,false)</f>
        <v>70</v>
      </c>
      <c r="Q307" s="13" t="str">
        <f t="shared" si="3"/>
        <v>Eligible</v>
      </c>
      <c r="R307" s="7" t="s">
        <v>22</v>
      </c>
    </row>
    <row r="308" ht="15.75" customHeight="1">
      <c r="B308" s="8" t="s">
        <v>627</v>
      </c>
      <c r="C308" s="8" t="s">
        <v>47</v>
      </c>
      <c r="D308" s="9" t="str">
        <f>vlookup(C308,Dept_Lookup!A$1:B$17,2,false)</f>
        <v>Civil</v>
      </c>
      <c r="E308" s="14">
        <v>45865.0</v>
      </c>
      <c r="F308" s="10">
        <f t="shared" si="1"/>
        <v>45865</v>
      </c>
      <c r="G308" s="8">
        <v>77.0</v>
      </c>
      <c r="H308" s="8">
        <v>93.0</v>
      </c>
      <c r="I308" s="8">
        <v>76.0</v>
      </c>
      <c r="J308" s="11">
        <f>G308*Scoring_Weights!B$2+H308*Scoring_Weights!B$3+I308*Scoring_Weights!B$4</f>
        <v>82.1</v>
      </c>
      <c r="K308" s="12">
        <v>0.79</v>
      </c>
      <c r="L308" s="15">
        <v>0.73</v>
      </c>
      <c r="M308" s="12">
        <f t="shared" si="2"/>
        <v>0.73</v>
      </c>
      <c r="N308" s="8" t="s">
        <v>563</v>
      </c>
      <c r="O308" s="13">
        <f>vlookup(N308,Interview_Slots!$A$1:$D$5,3,false)</f>
        <v>60</v>
      </c>
      <c r="P308" s="13">
        <f>vlookup(N308,Interview_Slots!$A$1:$D$5,4,false)</f>
        <v>70</v>
      </c>
      <c r="Q308" s="13" t="str">
        <f t="shared" si="3"/>
        <v>Eligible</v>
      </c>
      <c r="R308" s="7" t="s">
        <v>22</v>
      </c>
    </row>
    <row r="309" ht="15.75" customHeight="1">
      <c r="A309" s="8" t="s">
        <v>628</v>
      </c>
      <c r="B309" s="8" t="s">
        <v>629</v>
      </c>
      <c r="C309" s="8" t="s">
        <v>47</v>
      </c>
      <c r="D309" s="9" t="str">
        <f>vlookup(C309,Dept_Lookup!A$1:B$17,2,false)</f>
        <v>Civil</v>
      </c>
      <c r="E309" s="9">
        <v>45878.0</v>
      </c>
      <c r="F309" s="10">
        <f t="shared" si="1"/>
        <v>45878</v>
      </c>
      <c r="G309" s="8">
        <v>68.0</v>
      </c>
      <c r="H309" s="8">
        <v>84.0</v>
      </c>
      <c r="I309" s="8">
        <v>85.0</v>
      </c>
      <c r="J309" s="11">
        <f>G309*Scoring_Weights!B$2+H309*Scoring_Weights!B$3+I309*Scoring_Weights!B$4</f>
        <v>82.1</v>
      </c>
      <c r="K309" s="12">
        <v>0.78</v>
      </c>
      <c r="L309" s="8">
        <v>0.84</v>
      </c>
      <c r="M309" s="12">
        <f t="shared" si="2"/>
        <v>0.84</v>
      </c>
      <c r="N309" s="8" t="s">
        <v>563</v>
      </c>
      <c r="O309" s="13">
        <f>vlookup(N309,Interview_Slots!$A$1:$D$5,3,false)</f>
        <v>60</v>
      </c>
      <c r="P309" s="13">
        <f>vlookup(N309,Interview_Slots!$A$1:$D$5,4,false)</f>
        <v>70</v>
      </c>
      <c r="Q309" s="13" t="str">
        <f t="shared" si="3"/>
        <v>Eligible</v>
      </c>
      <c r="R309" s="7" t="s">
        <v>22</v>
      </c>
    </row>
    <row r="310" ht="15.75" customHeight="1">
      <c r="A310" s="8" t="s">
        <v>630</v>
      </c>
      <c r="B310" s="8" t="s">
        <v>631</v>
      </c>
      <c r="C310" s="8" t="s">
        <v>28</v>
      </c>
      <c r="D310" s="9" t="str">
        <f>vlookup(C310,Dept_Lookup!A$1:B$17,2,false)</f>
        <v>Electronics</v>
      </c>
      <c r="E310" s="9">
        <v>45887.0</v>
      </c>
      <c r="F310" s="10">
        <f t="shared" si="1"/>
        <v>45887</v>
      </c>
      <c r="G310" s="8">
        <v>98.0</v>
      </c>
      <c r="H310" s="8">
        <v>56.0</v>
      </c>
      <c r="I310" s="8">
        <v>95.0</v>
      </c>
      <c r="J310" s="11">
        <f>G310*Scoring_Weights!B$2+H310*Scoring_Weights!B$3+I310*Scoring_Weights!B$4</f>
        <v>81.8</v>
      </c>
      <c r="K310" s="12">
        <v>0.87</v>
      </c>
      <c r="L310" s="8">
        <v>1.0</v>
      </c>
      <c r="M310" s="12">
        <f t="shared" si="2"/>
        <v>1</v>
      </c>
      <c r="N310" s="8" t="s">
        <v>563</v>
      </c>
      <c r="O310" s="13">
        <f>vlookup(N310,Interview_Slots!$A$1:$D$5,3,false)</f>
        <v>60</v>
      </c>
      <c r="P310" s="13">
        <f>vlookup(N310,Interview_Slots!$A$1:$D$5,4,false)</f>
        <v>70</v>
      </c>
      <c r="Q310" s="13" t="str">
        <f t="shared" si="3"/>
        <v>Eligible</v>
      </c>
      <c r="R310" s="7" t="s">
        <v>22</v>
      </c>
    </row>
    <row r="311" ht="15.75" customHeight="1">
      <c r="A311" s="8" t="s">
        <v>632</v>
      </c>
      <c r="B311" s="8" t="s">
        <v>633</v>
      </c>
      <c r="C311" s="8" t="s">
        <v>41</v>
      </c>
      <c r="D311" s="9" t="str">
        <f>vlookup(C311,Dept_Lookup!A$1:B$17,2,false)</f>
        <v>Mechanical</v>
      </c>
      <c r="E311" s="14">
        <v>45880.0</v>
      </c>
      <c r="F311" s="10">
        <f t="shared" si="1"/>
        <v>45880</v>
      </c>
      <c r="G311" s="8">
        <v>98.0</v>
      </c>
      <c r="H311" s="8">
        <v>56.0</v>
      </c>
      <c r="I311" s="8">
        <v>95.0</v>
      </c>
      <c r="J311" s="11">
        <f>G311*Scoring_Weights!B$2+H311*Scoring_Weights!B$3+I311*Scoring_Weights!B$4</f>
        <v>81.8</v>
      </c>
      <c r="K311" s="12">
        <v>0.87</v>
      </c>
      <c r="L311" s="8">
        <v>1.0</v>
      </c>
      <c r="M311" s="12">
        <f t="shared" si="2"/>
        <v>1</v>
      </c>
      <c r="N311" s="8" t="s">
        <v>563</v>
      </c>
      <c r="O311" s="13">
        <f>vlookup(N311,Interview_Slots!$A$1:$D$5,3,false)</f>
        <v>60</v>
      </c>
      <c r="P311" s="13">
        <f>vlookup(N311,Interview_Slots!$A$1:$D$5,4,false)</f>
        <v>70</v>
      </c>
      <c r="Q311" s="13" t="str">
        <f t="shared" si="3"/>
        <v>Eligible</v>
      </c>
      <c r="R311" s="7" t="s">
        <v>22</v>
      </c>
    </row>
    <row r="312" ht="15.75" customHeight="1">
      <c r="A312" s="8" t="s">
        <v>634</v>
      </c>
      <c r="B312" s="8" t="s">
        <v>635</v>
      </c>
      <c r="C312" s="8" t="s">
        <v>161</v>
      </c>
      <c r="D312" s="9" t="str">
        <f>vlookup(C312,Dept_Lookup!A$1:B$17,2,false)</f>
        <v>Mechanical</v>
      </c>
      <c r="E312" s="14">
        <v>45847.0</v>
      </c>
      <c r="F312" s="10">
        <f t="shared" si="1"/>
        <v>45847</v>
      </c>
      <c r="G312" s="8">
        <v>97.0</v>
      </c>
      <c r="H312" s="8">
        <v>62.0</v>
      </c>
      <c r="I312" s="8">
        <v>91.0</v>
      </c>
      <c r="J312" s="11">
        <f>G312*Scoring_Weights!B$2+H312*Scoring_Weights!B$3+I312*Scoring_Weights!B$4</f>
        <v>81.75</v>
      </c>
      <c r="K312" s="12">
        <v>0.94</v>
      </c>
      <c r="L312" s="8">
        <v>0.77</v>
      </c>
      <c r="M312" s="12">
        <f t="shared" si="2"/>
        <v>0.77</v>
      </c>
      <c r="N312" s="8" t="s">
        <v>563</v>
      </c>
      <c r="O312" s="13">
        <f>vlookup(N312,Interview_Slots!$A$1:$D$5,3,false)</f>
        <v>60</v>
      </c>
      <c r="P312" s="13">
        <f>vlookup(N312,Interview_Slots!$A$1:$D$5,4,false)</f>
        <v>70</v>
      </c>
      <c r="Q312" s="13" t="str">
        <f t="shared" si="3"/>
        <v>Eligible</v>
      </c>
      <c r="R312" s="7" t="s">
        <v>22</v>
      </c>
    </row>
    <row r="313" ht="15.75" customHeight="1">
      <c r="A313" s="8" t="s">
        <v>636</v>
      </c>
      <c r="B313" s="8" t="s">
        <v>637</v>
      </c>
      <c r="C313" s="8" t="s">
        <v>35</v>
      </c>
      <c r="D313" s="9" t="str">
        <f>vlookup(C313,Dept_Lookup!A$1:B$17,2,false)</f>
        <v>Electronics</v>
      </c>
      <c r="E313" s="14">
        <v>45880.0</v>
      </c>
      <c r="F313" s="10">
        <f t="shared" si="1"/>
        <v>45880</v>
      </c>
      <c r="G313" s="8">
        <v>97.0</v>
      </c>
      <c r="H313" s="8">
        <v>62.0</v>
      </c>
      <c r="I313" s="8">
        <v>91.0</v>
      </c>
      <c r="J313" s="11">
        <f>G313*Scoring_Weights!B$2+H313*Scoring_Weights!B$3+I313*Scoring_Weights!B$4</f>
        <v>81.75</v>
      </c>
      <c r="K313" s="12">
        <v>0.94</v>
      </c>
      <c r="L313" s="8">
        <v>0.77</v>
      </c>
      <c r="M313" s="12">
        <f t="shared" si="2"/>
        <v>0.77</v>
      </c>
      <c r="N313" s="8" t="s">
        <v>563</v>
      </c>
      <c r="O313" s="13">
        <f>vlookup(N313,Interview_Slots!$A$1:$D$5,3,false)</f>
        <v>60</v>
      </c>
      <c r="P313" s="13">
        <f>vlookup(N313,Interview_Slots!$A$1:$D$5,4,false)</f>
        <v>70</v>
      </c>
      <c r="Q313" s="13" t="str">
        <f t="shared" si="3"/>
        <v>Eligible</v>
      </c>
      <c r="R313" s="7" t="s">
        <v>22</v>
      </c>
    </row>
    <row r="314" ht="15.75" customHeight="1">
      <c r="A314" s="8" t="s">
        <v>638</v>
      </c>
      <c r="B314" s="8" t="s">
        <v>639</v>
      </c>
      <c r="C314" s="8" t="s">
        <v>41</v>
      </c>
      <c r="D314" s="9" t="str">
        <f>vlookup(C314,Dept_Lookup!A$1:B$17,2,false)</f>
        <v>Mechanical</v>
      </c>
      <c r="E314" s="9">
        <v>45860.0</v>
      </c>
      <c r="F314" s="10">
        <f t="shared" si="1"/>
        <v>45860</v>
      </c>
      <c r="G314" s="8">
        <v>86.0</v>
      </c>
      <c r="H314" s="8">
        <v>58.0</v>
      </c>
      <c r="I314" s="8">
        <v>97.0</v>
      </c>
      <c r="J314" s="11">
        <f>G314*Scoring_Weights!B$2+H314*Scoring_Weights!B$3+I314*Scoring_Weights!B$4</f>
        <v>81.7</v>
      </c>
      <c r="K314" s="12">
        <v>0.95</v>
      </c>
      <c r="L314" s="8">
        <v>0.92</v>
      </c>
      <c r="M314" s="12">
        <f t="shared" si="2"/>
        <v>0.92</v>
      </c>
      <c r="N314" s="8" t="s">
        <v>563</v>
      </c>
      <c r="O314" s="13">
        <f>vlookup(N314,Interview_Slots!$A$1:$D$5,3,false)</f>
        <v>60</v>
      </c>
      <c r="P314" s="13">
        <f>vlookup(N314,Interview_Slots!$A$1:$D$5,4,false)</f>
        <v>70</v>
      </c>
      <c r="Q314" s="13" t="str">
        <f t="shared" si="3"/>
        <v>Eligible</v>
      </c>
      <c r="R314" s="7" t="s">
        <v>22</v>
      </c>
    </row>
    <row r="315" ht="15.75" customHeight="1">
      <c r="A315" s="8" t="s">
        <v>640</v>
      </c>
      <c r="B315" s="8" t="s">
        <v>641</v>
      </c>
      <c r="C315" s="8" t="s">
        <v>102</v>
      </c>
      <c r="D315" s="9" t="str">
        <f>vlookup(C315,Dept_Lookup!A$1:B$17,2,false)</f>
        <v>Computer Science</v>
      </c>
      <c r="E315" s="9">
        <v>45891.0</v>
      </c>
      <c r="F315" s="10">
        <f t="shared" si="1"/>
        <v>45891</v>
      </c>
      <c r="G315" s="8">
        <v>74.0</v>
      </c>
      <c r="H315" s="8">
        <v>93.0</v>
      </c>
      <c r="I315" s="8">
        <v>76.0</v>
      </c>
      <c r="J315" s="11">
        <f>G315*Scoring_Weights!B$2+H315*Scoring_Weights!B$3+I315*Scoring_Weights!B$4</f>
        <v>81.65</v>
      </c>
      <c r="K315" s="12">
        <v>0.8</v>
      </c>
      <c r="L315" s="8">
        <v>0.92</v>
      </c>
      <c r="M315" s="12">
        <f t="shared" si="2"/>
        <v>0.92</v>
      </c>
      <c r="N315" s="8" t="s">
        <v>563</v>
      </c>
      <c r="O315" s="13">
        <f>vlookup(N315,Interview_Slots!$A$1:$D$5,3,false)</f>
        <v>60</v>
      </c>
      <c r="P315" s="13">
        <f>vlookup(N315,Interview_Slots!$A$1:$D$5,4,false)</f>
        <v>70</v>
      </c>
      <c r="Q315" s="13" t="str">
        <f t="shared" si="3"/>
        <v>Eligible</v>
      </c>
      <c r="R315" s="7" t="s">
        <v>22</v>
      </c>
    </row>
    <row r="316" ht="15.75" customHeight="1">
      <c r="A316" s="8" t="s">
        <v>642</v>
      </c>
      <c r="B316" s="8" t="s">
        <v>643</v>
      </c>
      <c r="C316" s="8" t="s">
        <v>57</v>
      </c>
      <c r="D316" s="9" t="str">
        <f>vlookup(C316,Dept_Lookup!A$1:B$17,2,false)</f>
        <v>Computer Science</v>
      </c>
      <c r="E316" s="14">
        <v>45900.0</v>
      </c>
      <c r="F316" s="10">
        <f t="shared" si="1"/>
        <v>45900</v>
      </c>
      <c r="G316" s="8">
        <v>70.0</v>
      </c>
      <c r="H316" s="8">
        <v>75.0</v>
      </c>
      <c r="I316" s="8">
        <v>89.0</v>
      </c>
      <c r="J316" s="11">
        <f>G316*Scoring_Weights!B$2+H316*Scoring_Weights!B$3+I316*Scoring_Weights!B$4</f>
        <v>81.25</v>
      </c>
      <c r="K316" s="12">
        <v>0.95</v>
      </c>
      <c r="L316" s="8">
        <v>0.88</v>
      </c>
      <c r="M316" s="12">
        <f t="shared" si="2"/>
        <v>0.88</v>
      </c>
      <c r="N316" s="8" t="s">
        <v>563</v>
      </c>
      <c r="O316" s="13">
        <f>vlookup(N316,Interview_Slots!$A$1:$D$5,3,false)</f>
        <v>60</v>
      </c>
      <c r="P316" s="13">
        <f>vlookup(N316,Interview_Slots!$A$1:$D$5,4,false)</f>
        <v>70</v>
      </c>
      <c r="Q316" s="13" t="str">
        <f t="shared" si="3"/>
        <v>Eligible</v>
      </c>
      <c r="R316" s="7" t="s">
        <v>22</v>
      </c>
    </row>
    <row r="317" ht="15.75" customHeight="1">
      <c r="A317" s="8" t="s">
        <v>644</v>
      </c>
      <c r="B317" s="8" t="s">
        <v>645</v>
      </c>
      <c r="C317" s="8" t="s">
        <v>28</v>
      </c>
      <c r="D317" s="9" t="str">
        <f>vlookup(C317,Dept_Lookup!A$1:B$17,2,false)</f>
        <v>Electronics</v>
      </c>
      <c r="E317" s="14">
        <v>45865.0</v>
      </c>
      <c r="F317" s="10">
        <f t="shared" si="1"/>
        <v>45865</v>
      </c>
      <c r="G317" s="8">
        <v>73.0</v>
      </c>
      <c r="H317" s="8">
        <v>75.0</v>
      </c>
      <c r="I317" s="8">
        <v>88.0</v>
      </c>
      <c r="J317" s="11">
        <f>G317*Scoring_Weights!B$2+H317*Scoring_Weights!B$3+I317*Scoring_Weights!B$4</f>
        <v>81.2</v>
      </c>
      <c r="K317" s="12">
        <v>0.94</v>
      </c>
      <c r="L317" s="8">
        <v>0.86</v>
      </c>
      <c r="M317" s="12">
        <f t="shared" si="2"/>
        <v>0.86</v>
      </c>
      <c r="N317" s="8" t="s">
        <v>563</v>
      </c>
      <c r="O317" s="13">
        <f>vlookup(N317,Interview_Slots!$A$1:$D$5,3,false)</f>
        <v>60</v>
      </c>
      <c r="P317" s="13">
        <f>vlookup(N317,Interview_Slots!$A$1:$D$5,4,false)</f>
        <v>70</v>
      </c>
      <c r="Q317" s="13" t="str">
        <f t="shared" si="3"/>
        <v>Eligible</v>
      </c>
      <c r="R317" s="7" t="s">
        <v>22</v>
      </c>
    </row>
    <row r="318" ht="15.75" customHeight="1">
      <c r="A318" s="8" t="s">
        <v>646</v>
      </c>
      <c r="B318" s="8" t="s">
        <v>647</v>
      </c>
      <c r="C318" s="8" t="s">
        <v>28</v>
      </c>
      <c r="D318" s="9" t="str">
        <f>vlookup(C318,Dept_Lookup!A$1:B$17,2,false)</f>
        <v>Electronics</v>
      </c>
      <c r="E318" s="14">
        <v>45843.0</v>
      </c>
      <c r="F318" s="10">
        <f t="shared" si="1"/>
        <v>45843</v>
      </c>
      <c r="G318" s="8">
        <v>85.0</v>
      </c>
      <c r="H318" s="8">
        <v>77.0</v>
      </c>
      <c r="I318" s="8">
        <v>82.0</v>
      </c>
      <c r="J318" s="11">
        <f>G318*Scoring_Weights!B$2+H318*Scoring_Weights!B$3+I318*Scoring_Weights!B$4</f>
        <v>80.7</v>
      </c>
      <c r="K318" s="12">
        <v>0.86</v>
      </c>
      <c r="L318" s="8">
        <v>0.8</v>
      </c>
      <c r="M318" s="12">
        <f t="shared" si="2"/>
        <v>0.8</v>
      </c>
      <c r="N318" s="8" t="s">
        <v>563</v>
      </c>
      <c r="O318" s="13">
        <f>vlookup(N318,Interview_Slots!$A$1:$D$5,3,false)</f>
        <v>60</v>
      </c>
      <c r="P318" s="13">
        <f>vlookup(N318,Interview_Slots!$A$1:$D$5,4,false)</f>
        <v>70</v>
      </c>
      <c r="Q318" s="13" t="str">
        <f t="shared" si="3"/>
        <v>Eligible</v>
      </c>
      <c r="R318" s="7" t="s">
        <v>22</v>
      </c>
    </row>
    <row r="319" ht="15.75" customHeight="1">
      <c r="A319" s="8" t="s">
        <v>648</v>
      </c>
      <c r="B319" s="8" t="s">
        <v>649</v>
      </c>
      <c r="C319" s="8" t="s">
        <v>57</v>
      </c>
      <c r="D319" s="9" t="str">
        <f>vlookup(C319,Dept_Lookup!A$1:B$17,2,false)</f>
        <v>Computer Science</v>
      </c>
      <c r="E319" s="8" t="s">
        <v>92</v>
      </c>
      <c r="F319" s="10">
        <f t="shared" si="1"/>
        <v>45898</v>
      </c>
      <c r="G319" s="8">
        <v>98.0</v>
      </c>
      <c r="H319" s="8">
        <v>94.0</v>
      </c>
      <c r="I319" s="8">
        <v>66.0</v>
      </c>
      <c r="J319" s="11">
        <f>G319*Scoring_Weights!B$2+H319*Scoring_Weights!B$3+I319*Scoring_Weights!B$4</f>
        <v>80.6</v>
      </c>
      <c r="K319" s="12">
        <v>0.79</v>
      </c>
      <c r="L319" s="8">
        <v>0.88</v>
      </c>
      <c r="M319" s="12">
        <f t="shared" si="2"/>
        <v>0.88</v>
      </c>
      <c r="N319" s="8" t="s">
        <v>563</v>
      </c>
      <c r="O319" s="13">
        <f>vlookup(N319,Interview_Slots!$A$1:$D$5,3,false)</f>
        <v>60</v>
      </c>
      <c r="P319" s="13">
        <f>vlookup(N319,Interview_Slots!$A$1:$D$5,4,false)</f>
        <v>70</v>
      </c>
      <c r="Q319" s="13" t="str">
        <f t="shared" si="3"/>
        <v>Eligible</v>
      </c>
      <c r="R319" s="7" t="s">
        <v>22</v>
      </c>
    </row>
    <row r="320" ht="15.75" customHeight="1">
      <c r="A320" s="8" t="s">
        <v>650</v>
      </c>
      <c r="B320" s="8" t="s">
        <v>651</v>
      </c>
      <c r="C320" s="8" t="s">
        <v>57</v>
      </c>
      <c r="D320" s="9" t="str">
        <f>vlookup(C320,Dept_Lookup!A$1:B$17,2,false)</f>
        <v>Computer Science</v>
      </c>
      <c r="E320" s="14">
        <v>45876.0</v>
      </c>
      <c r="F320" s="10">
        <f t="shared" si="1"/>
        <v>45876</v>
      </c>
      <c r="G320" s="8">
        <v>98.0</v>
      </c>
      <c r="H320" s="8">
        <v>94.0</v>
      </c>
      <c r="I320" s="8">
        <v>66.0</v>
      </c>
      <c r="J320" s="11">
        <f>G320*Scoring_Weights!B$2+H320*Scoring_Weights!B$3+I320*Scoring_Weights!B$4</f>
        <v>80.6</v>
      </c>
      <c r="K320" s="12">
        <v>0.79</v>
      </c>
      <c r="L320" s="8">
        <v>0.88</v>
      </c>
      <c r="M320" s="12">
        <f t="shared" si="2"/>
        <v>0.88</v>
      </c>
      <c r="N320" s="8" t="s">
        <v>563</v>
      </c>
      <c r="O320" s="13">
        <f>vlookup(N320,Interview_Slots!$A$1:$D$5,3,false)</f>
        <v>60</v>
      </c>
      <c r="P320" s="13">
        <f>vlookup(N320,Interview_Slots!$A$1:$D$5,4,false)</f>
        <v>70</v>
      </c>
      <c r="Q320" s="13" t="str">
        <f t="shared" si="3"/>
        <v>Eligible</v>
      </c>
      <c r="R320" s="7" t="s">
        <v>22</v>
      </c>
    </row>
    <row r="321" ht="15.75" customHeight="1">
      <c r="A321" s="8" t="s">
        <v>652</v>
      </c>
      <c r="B321" s="8" t="s">
        <v>653</v>
      </c>
      <c r="C321" s="8" t="s">
        <v>47</v>
      </c>
      <c r="D321" s="9" t="str">
        <f>vlookup(C321,Dept_Lookup!A$1:B$17,2,false)</f>
        <v>Civil</v>
      </c>
      <c r="E321" s="14">
        <v>45880.0</v>
      </c>
      <c r="F321" s="10">
        <f t="shared" si="1"/>
        <v>45880</v>
      </c>
      <c r="G321" s="8">
        <v>56.0</v>
      </c>
      <c r="H321" s="8">
        <v>97.0</v>
      </c>
      <c r="I321" s="8">
        <v>76.0</v>
      </c>
      <c r="J321" s="11">
        <f>G321*Scoring_Weights!B$2+H321*Scoring_Weights!B$3+I321*Scoring_Weights!B$4</f>
        <v>80.35</v>
      </c>
      <c r="K321" s="12">
        <v>0.88</v>
      </c>
      <c r="L321" s="15">
        <v>0.73</v>
      </c>
      <c r="M321" s="12">
        <f t="shared" si="2"/>
        <v>0.73</v>
      </c>
      <c r="N321" s="8" t="s">
        <v>563</v>
      </c>
      <c r="O321" s="13">
        <f>vlookup(N321,Interview_Slots!$A$1:$D$5,3,false)</f>
        <v>60</v>
      </c>
      <c r="P321" s="13">
        <f>vlookup(N321,Interview_Slots!$A$1:$D$5,4,false)</f>
        <v>70</v>
      </c>
      <c r="Q321" s="13" t="str">
        <f t="shared" si="3"/>
        <v>Eligible</v>
      </c>
      <c r="R321" s="7" t="s">
        <v>22</v>
      </c>
    </row>
    <row r="322" ht="15.75" customHeight="1">
      <c r="A322" s="8" t="s">
        <v>654</v>
      </c>
      <c r="B322" s="8" t="s">
        <v>655</v>
      </c>
      <c r="C322" s="8" t="s">
        <v>50</v>
      </c>
      <c r="D322" s="9" t="str">
        <f>vlookup(C322,Dept_Lookup!A$1:B$17,2,false)</f>
        <v>Electronics</v>
      </c>
      <c r="E322" s="14">
        <v>45929.0</v>
      </c>
      <c r="F322" s="10">
        <f t="shared" si="1"/>
        <v>45929</v>
      </c>
      <c r="G322" s="8">
        <v>91.0</v>
      </c>
      <c r="H322" s="8">
        <v>69.0</v>
      </c>
      <c r="I322" s="8">
        <v>85.0</v>
      </c>
      <c r="J322" s="11">
        <f>G322*Scoring_Weights!B$2+H322*Scoring_Weights!B$3+I322*Scoring_Weights!B$4</f>
        <v>80.3</v>
      </c>
      <c r="K322" s="12">
        <v>0.75</v>
      </c>
      <c r="L322" s="8">
        <v>0.77</v>
      </c>
      <c r="M322" s="12">
        <f t="shared" si="2"/>
        <v>0.77</v>
      </c>
      <c r="N322" s="8" t="s">
        <v>563</v>
      </c>
      <c r="O322" s="13">
        <f>vlookup(N322,Interview_Slots!$A$1:$D$5,3,false)</f>
        <v>60</v>
      </c>
      <c r="P322" s="13">
        <f>vlookup(N322,Interview_Slots!$A$1:$D$5,4,false)</f>
        <v>70</v>
      </c>
      <c r="Q322" s="13" t="str">
        <f t="shared" si="3"/>
        <v>Eligible</v>
      </c>
      <c r="R322" s="7" t="s">
        <v>22</v>
      </c>
    </row>
    <row r="323" ht="15.75" customHeight="1">
      <c r="A323" s="8" t="s">
        <v>656</v>
      </c>
      <c r="B323" s="8" t="s">
        <v>657</v>
      </c>
      <c r="C323" s="8" t="s">
        <v>105</v>
      </c>
      <c r="D323" s="9" t="str">
        <f>vlookup(C323,Dept_Lookup!A$1:B$17,2,false)</f>
        <v>Civil</v>
      </c>
      <c r="E323" s="14">
        <v>45919.0</v>
      </c>
      <c r="F323" s="10">
        <f t="shared" si="1"/>
        <v>45919</v>
      </c>
      <c r="G323" s="8">
        <v>72.0</v>
      </c>
      <c r="H323" s="8">
        <v>87.0</v>
      </c>
      <c r="I323" s="8">
        <v>78.0</v>
      </c>
      <c r="J323" s="11">
        <f>G323*Scoring_Weights!B$2+H323*Scoring_Weights!B$3+I323*Scoring_Weights!B$4</f>
        <v>80.25</v>
      </c>
      <c r="K323" s="12">
        <v>0.92</v>
      </c>
      <c r="L323" s="12">
        <v>0.87</v>
      </c>
      <c r="M323" s="12">
        <f t="shared" si="2"/>
        <v>0.87</v>
      </c>
      <c r="N323" s="8" t="s">
        <v>563</v>
      </c>
      <c r="O323" s="13">
        <f>vlookup(N323,Interview_Slots!$A$1:$D$5,3,false)</f>
        <v>60</v>
      </c>
      <c r="P323" s="13">
        <f>vlookup(N323,Interview_Slots!$A$1:$D$5,4,false)</f>
        <v>70</v>
      </c>
      <c r="Q323" s="13" t="str">
        <f t="shared" si="3"/>
        <v>Eligible</v>
      </c>
      <c r="R323" s="7" t="s">
        <v>22</v>
      </c>
    </row>
    <row r="324" ht="15.75" customHeight="1">
      <c r="A324" s="8" t="s">
        <v>658</v>
      </c>
      <c r="B324" s="8" t="s">
        <v>659</v>
      </c>
      <c r="C324" s="8" t="s">
        <v>102</v>
      </c>
      <c r="D324" s="9" t="str">
        <f>vlookup(C324,Dept_Lookup!A$1:B$17,2,false)</f>
        <v>Computer Science</v>
      </c>
      <c r="E324" s="14">
        <v>45882.0</v>
      </c>
      <c r="F324" s="10">
        <f t="shared" si="1"/>
        <v>45882</v>
      </c>
      <c r="G324" s="8">
        <v>91.0</v>
      </c>
      <c r="H324" s="8">
        <v>89.0</v>
      </c>
      <c r="I324" s="8">
        <v>70.0</v>
      </c>
      <c r="J324" s="11">
        <f>G324*Scoring_Weights!B$2+H324*Scoring_Weights!B$3+I324*Scoring_Weights!B$4</f>
        <v>79.8</v>
      </c>
      <c r="K324" s="12">
        <v>0.85</v>
      </c>
      <c r="L324" s="8">
        <v>1.0</v>
      </c>
      <c r="M324" s="12">
        <f t="shared" si="2"/>
        <v>1</v>
      </c>
      <c r="N324" s="8" t="s">
        <v>563</v>
      </c>
      <c r="O324" s="13">
        <f>vlookup(N324,Interview_Slots!$A$1:$D$5,3,false)</f>
        <v>60</v>
      </c>
      <c r="P324" s="13">
        <f>vlookup(N324,Interview_Slots!$A$1:$D$5,4,false)</f>
        <v>70</v>
      </c>
      <c r="Q324" s="13" t="str">
        <f t="shared" si="3"/>
        <v>Eligible</v>
      </c>
      <c r="R324" s="7" t="s">
        <v>22</v>
      </c>
    </row>
    <row r="325" ht="15.75" hidden="1" customHeight="1">
      <c r="A325" s="8" t="s">
        <v>660</v>
      </c>
      <c r="B325" s="8" t="s">
        <v>661</v>
      </c>
      <c r="C325" s="8" t="s">
        <v>72</v>
      </c>
      <c r="D325" s="9" t="str">
        <f>vlookup(C325,Dept_Lookup!A$1:B$17,2,false)</f>
        <v>Mechanical</v>
      </c>
      <c r="E325" s="14">
        <v>45877.0</v>
      </c>
      <c r="F325" s="10">
        <f t="shared" si="1"/>
        <v>45877</v>
      </c>
      <c r="G325" s="8">
        <v>66.0</v>
      </c>
      <c r="H325" s="8">
        <v>73.0</v>
      </c>
      <c r="I325" s="8">
        <v>88.0</v>
      </c>
      <c r="J325" s="11">
        <f>G325*Scoring_Weights!B$2+H325*Scoring_Weights!B$3+I325*Scoring_Weights!B$4</f>
        <v>79.45</v>
      </c>
      <c r="K325" s="12">
        <v>0.68</v>
      </c>
      <c r="L325" s="8">
        <v>65.0</v>
      </c>
      <c r="M325" s="12">
        <f t="shared" si="2"/>
        <v>0.65</v>
      </c>
      <c r="N325" s="8" t="s">
        <v>563</v>
      </c>
      <c r="O325" s="13">
        <f>vlookup(N325,Interview_Slots!$A$1:$D$5,3,false)</f>
        <v>60</v>
      </c>
      <c r="P325" s="13">
        <f>vlookup(N325,Interview_Slots!$A$1:$D$5,4,false)</f>
        <v>70</v>
      </c>
      <c r="Q325" s="13" t="str">
        <f t="shared" si="3"/>
        <v>Not Eligible</v>
      </c>
    </row>
    <row r="326" ht="15.75" customHeight="1">
      <c r="A326" s="8" t="s">
        <v>662</v>
      </c>
      <c r="B326" s="8" t="s">
        <v>663</v>
      </c>
      <c r="C326" s="8" t="s">
        <v>57</v>
      </c>
      <c r="D326" s="9" t="str">
        <f>vlookup(C326,Dept_Lookup!A$1:B$17,2,false)</f>
        <v>Computer Science</v>
      </c>
      <c r="E326" s="14">
        <v>45865.0</v>
      </c>
      <c r="F326" s="10">
        <f t="shared" si="1"/>
        <v>45865</v>
      </c>
      <c r="G326" s="8">
        <v>71.0</v>
      </c>
      <c r="H326" s="8">
        <v>78.0</v>
      </c>
      <c r="I326" s="8">
        <v>83.0</v>
      </c>
      <c r="J326" s="11">
        <f>G326*Scoring_Weights!B$2+H326*Scoring_Weights!B$3+I326*Scoring_Weights!B$4</f>
        <v>79.45</v>
      </c>
      <c r="K326" s="12">
        <v>0.75</v>
      </c>
      <c r="L326" s="8">
        <v>0.94</v>
      </c>
      <c r="M326" s="12">
        <f t="shared" si="2"/>
        <v>0.94</v>
      </c>
      <c r="N326" s="8" t="s">
        <v>563</v>
      </c>
      <c r="O326" s="13">
        <f>vlookup(N326,Interview_Slots!$A$1:$D$5,3,false)</f>
        <v>60</v>
      </c>
      <c r="P326" s="13">
        <f>vlookup(N326,Interview_Slots!$A$1:$D$5,4,false)</f>
        <v>70</v>
      </c>
      <c r="Q326" s="13" t="str">
        <f t="shared" si="3"/>
        <v>Eligible</v>
      </c>
      <c r="R326" s="7" t="s">
        <v>22</v>
      </c>
    </row>
    <row r="327" ht="15.75" customHeight="1">
      <c r="A327" s="8" t="s">
        <v>664</v>
      </c>
      <c r="B327" s="8" t="s">
        <v>76</v>
      </c>
      <c r="C327" s="8" t="s">
        <v>38</v>
      </c>
      <c r="D327" s="9" t="str">
        <f>vlookup(C327,Dept_Lookup!A$1:B$17,2,false)</f>
        <v>Mechanical</v>
      </c>
      <c r="E327" s="9">
        <v>45872.0</v>
      </c>
      <c r="F327" s="10">
        <f t="shared" si="1"/>
        <v>45872</v>
      </c>
      <c r="G327" s="8">
        <v>84.0</v>
      </c>
      <c r="H327" s="8">
        <v>95.0</v>
      </c>
      <c r="I327" s="8">
        <v>67.0</v>
      </c>
      <c r="J327" s="11">
        <f>G327*Scoring_Weights!B$2+H327*Scoring_Weights!B$3+I327*Scoring_Weights!B$4</f>
        <v>79.35</v>
      </c>
      <c r="K327" s="12">
        <v>0.92</v>
      </c>
      <c r="L327" s="12">
        <v>0.99</v>
      </c>
      <c r="M327" s="12">
        <f t="shared" si="2"/>
        <v>0.99</v>
      </c>
      <c r="N327" s="8" t="s">
        <v>563</v>
      </c>
      <c r="O327" s="13">
        <f>vlookup(N327,Interview_Slots!$A$1:$D$5,3,false)</f>
        <v>60</v>
      </c>
      <c r="P327" s="13">
        <f>vlookup(N327,Interview_Slots!$A$1:$D$5,4,false)</f>
        <v>70</v>
      </c>
      <c r="Q327" s="13" t="str">
        <f t="shared" si="3"/>
        <v>Eligible</v>
      </c>
      <c r="R327" s="7" t="s">
        <v>22</v>
      </c>
    </row>
    <row r="328" ht="15.75" customHeight="1">
      <c r="A328" s="8" t="s">
        <v>665</v>
      </c>
      <c r="B328" s="8" t="s">
        <v>666</v>
      </c>
      <c r="C328" s="8" t="s">
        <v>105</v>
      </c>
      <c r="D328" s="9" t="str">
        <f>vlookup(C328,Dept_Lookup!A$1:B$17,2,false)</f>
        <v>Civil</v>
      </c>
      <c r="E328" s="14">
        <v>45913.0</v>
      </c>
      <c r="F328" s="10">
        <f t="shared" si="1"/>
        <v>45913</v>
      </c>
      <c r="G328" s="8">
        <v>86.0</v>
      </c>
      <c r="H328" s="8">
        <v>84.0</v>
      </c>
      <c r="I328" s="8">
        <v>74.0</v>
      </c>
      <c r="J328" s="11">
        <f>G328*Scoring_Weights!B$2+H328*Scoring_Weights!B$3+I328*Scoring_Weights!B$4</f>
        <v>79.3</v>
      </c>
      <c r="K328" s="12">
        <v>0.84</v>
      </c>
      <c r="L328" s="12">
        <v>0.98</v>
      </c>
      <c r="M328" s="12">
        <f t="shared" si="2"/>
        <v>0.98</v>
      </c>
      <c r="N328" s="8" t="s">
        <v>563</v>
      </c>
      <c r="O328" s="13">
        <f>vlookup(N328,Interview_Slots!$A$1:$D$5,3,false)</f>
        <v>60</v>
      </c>
      <c r="P328" s="13">
        <f>vlookup(N328,Interview_Slots!$A$1:$D$5,4,false)</f>
        <v>70</v>
      </c>
      <c r="Q328" s="13" t="str">
        <f t="shared" si="3"/>
        <v>Eligible</v>
      </c>
      <c r="R328" s="7" t="s">
        <v>22</v>
      </c>
    </row>
    <row r="329" ht="15.75" customHeight="1">
      <c r="A329" s="8" t="s">
        <v>667</v>
      </c>
      <c r="B329" s="8" t="s">
        <v>668</v>
      </c>
      <c r="C329" s="8" t="s">
        <v>41</v>
      </c>
      <c r="D329" s="9" t="str">
        <f>vlookup(C329,Dept_Lookup!A$1:B$17,2,false)</f>
        <v>Mechanical</v>
      </c>
      <c r="E329" s="9">
        <v>45887.0</v>
      </c>
      <c r="F329" s="10">
        <f t="shared" si="1"/>
        <v>45887</v>
      </c>
      <c r="G329" s="8">
        <v>95.0</v>
      </c>
      <c r="H329" s="8">
        <v>68.0</v>
      </c>
      <c r="I329" s="8">
        <v>82.0</v>
      </c>
      <c r="J329" s="11">
        <f>G329*Scoring_Weights!B$2+H329*Scoring_Weights!B$3+I329*Scoring_Weights!B$4</f>
        <v>79.05</v>
      </c>
      <c r="K329" s="12">
        <v>0.81</v>
      </c>
      <c r="L329" s="12">
        <v>0.73</v>
      </c>
      <c r="M329" s="12">
        <f t="shared" si="2"/>
        <v>0.73</v>
      </c>
      <c r="N329" s="8" t="s">
        <v>563</v>
      </c>
      <c r="O329" s="13">
        <f>vlookup(N329,Interview_Slots!$A$1:$D$5,3,false)</f>
        <v>60</v>
      </c>
      <c r="P329" s="13">
        <f>vlookup(N329,Interview_Slots!$A$1:$D$5,4,false)</f>
        <v>70</v>
      </c>
      <c r="Q329" s="13" t="str">
        <f t="shared" si="3"/>
        <v>Eligible</v>
      </c>
      <c r="R329" s="7" t="s">
        <v>22</v>
      </c>
    </row>
    <row r="330" ht="15.75" customHeight="1">
      <c r="A330" s="8" t="s">
        <v>669</v>
      </c>
      <c r="B330" s="8" t="s">
        <v>670</v>
      </c>
      <c r="C330" s="8" t="s">
        <v>25</v>
      </c>
      <c r="D330" s="9" t="str">
        <f>vlookup(C330,Dept_Lookup!A$1:B$17,2,false)</f>
        <v>Computer Science</v>
      </c>
      <c r="E330" s="9">
        <v>45860.0</v>
      </c>
      <c r="F330" s="10">
        <f t="shared" si="1"/>
        <v>45860</v>
      </c>
      <c r="G330" s="8">
        <v>79.0</v>
      </c>
      <c r="H330" s="8">
        <v>69.0</v>
      </c>
      <c r="I330" s="8">
        <v>86.0</v>
      </c>
      <c r="J330" s="11">
        <f>G330*Scoring_Weights!B$2+H330*Scoring_Weights!B$3+I330*Scoring_Weights!B$4</f>
        <v>79</v>
      </c>
      <c r="K330" s="12">
        <v>0.92</v>
      </c>
      <c r="L330" s="8">
        <v>0.93</v>
      </c>
      <c r="M330" s="12">
        <f t="shared" si="2"/>
        <v>0.93</v>
      </c>
      <c r="N330" s="8" t="s">
        <v>563</v>
      </c>
      <c r="O330" s="13">
        <f>vlookup(N330,Interview_Slots!$A$1:$D$5,3,false)</f>
        <v>60</v>
      </c>
      <c r="P330" s="13">
        <f>vlookup(N330,Interview_Slots!$A$1:$D$5,4,false)</f>
        <v>70</v>
      </c>
      <c r="Q330" s="13" t="str">
        <f t="shared" si="3"/>
        <v>Eligible</v>
      </c>
      <c r="R330" s="7" t="s">
        <v>22</v>
      </c>
    </row>
    <row r="331" ht="15.75" customHeight="1">
      <c r="A331" s="8" t="s">
        <v>671</v>
      </c>
      <c r="B331" s="8" t="s">
        <v>672</v>
      </c>
      <c r="C331" s="8" t="s">
        <v>161</v>
      </c>
      <c r="D331" s="9" t="str">
        <f>vlookup(C331,Dept_Lookup!A$1:B$17,2,false)</f>
        <v>Mechanical</v>
      </c>
      <c r="E331" s="14">
        <v>45929.0</v>
      </c>
      <c r="F331" s="10">
        <f t="shared" si="1"/>
        <v>45929</v>
      </c>
      <c r="G331" s="8">
        <v>88.0</v>
      </c>
      <c r="H331" s="8">
        <v>79.0</v>
      </c>
      <c r="I331" s="8">
        <v>76.0</v>
      </c>
      <c r="J331" s="11">
        <f>G331*Scoring_Weights!B$2+H331*Scoring_Weights!B$3+I331*Scoring_Weights!B$4</f>
        <v>78.85</v>
      </c>
      <c r="K331" s="12">
        <v>0.91</v>
      </c>
      <c r="L331" s="8">
        <v>0.87</v>
      </c>
      <c r="M331" s="12">
        <f t="shared" si="2"/>
        <v>0.87</v>
      </c>
      <c r="N331" s="8" t="s">
        <v>563</v>
      </c>
      <c r="O331" s="13">
        <f>vlookup(N331,Interview_Slots!$A$1:$D$5,3,false)</f>
        <v>60</v>
      </c>
      <c r="P331" s="13">
        <f>vlookup(N331,Interview_Slots!$A$1:$D$5,4,false)</f>
        <v>70</v>
      </c>
      <c r="Q331" s="13" t="str">
        <f t="shared" si="3"/>
        <v>Eligible</v>
      </c>
      <c r="R331" s="7" t="s">
        <v>22</v>
      </c>
    </row>
    <row r="332" ht="15.75" customHeight="1">
      <c r="A332" s="8" t="s">
        <v>673</v>
      </c>
      <c r="B332" s="8" t="s">
        <v>674</v>
      </c>
      <c r="C332" s="8" t="s">
        <v>83</v>
      </c>
      <c r="D332" s="9" t="str">
        <f>vlookup(C332,Dept_Lookup!A$1:B$17,2,false)</f>
        <v>Civil</v>
      </c>
      <c r="E332" s="14">
        <v>45847.0</v>
      </c>
      <c r="F332" s="10">
        <f t="shared" si="1"/>
        <v>45847</v>
      </c>
      <c r="G332" s="8">
        <v>60.0</v>
      </c>
      <c r="H332" s="8">
        <v>61.0</v>
      </c>
      <c r="I332" s="8">
        <v>97.0</v>
      </c>
      <c r="J332" s="11">
        <f>G332*Scoring_Weights!B$2+H332*Scoring_Weights!B$3+I332*Scoring_Weights!B$4</f>
        <v>78.85</v>
      </c>
      <c r="K332" s="12">
        <v>0.82</v>
      </c>
      <c r="L332" s="8">
        <v>0.85</v>
      </c>
      <c r="M332" s="12">
        <f t="shared" si="2"/>
        <v>0.85</v>
      </c>
      <c r="N332" s="8" t="s">
        <v>563</v>
      </c>
      <c r="O332" s="13">
        <f>vlookup(N332,Interview_Slots!$A$1:$D$5,3,false)</f>
        <v>60</v>
      </c>
      <c r="P332" s="13">
        <f>vlookup(N332,Interview_Slots!$A$1:$D$5,4,false)</f>
        <v>70</v>
      </c>
      <c r="Q332" s="13" t="str">
        <f t="shared" si="3"/>
        <v>Eligible</v>
      </c>
      <c r="R332" s="7" t="s">
        <v>22</v>
      </c>
    </row>
    <row r="333" ht="15.75" customHeight="1">
      <c r="A333" s="8" t="s">
        <v>675</v>
      </c>
      <c r="B333" s="8" t="s">
        <v>676</v>
      </c>
      <c r="C333" s="8" t="s">
        <v>47</v>
      </c>
      <c r="D333" s="9" t="str">
        <f>vlookup(C333,Dept_Lookup!A$1:B$17,2,false)</f>
        <v>Civil</v>
      </c>
      <c r="E333" s="9">
        <v>45870.0</v>
      </c>
      <c r="F333" s="10">
        <f t="shared" si="1"/>
        <v>45870</v>
      </c>
      <c r="G333" s="8">
        <v>75.0</v>
      </c>
      <c r="H333" s="8">
        <v>97.0</v>
      </c>
      <c r="I333" s="8">
        <v>66.0</v>
      </c>
      <c r="J333" s="11">
        <f>G333*Scoring_Weights!B$2+H333*Scoring_Weights!B$3+I333*Scoring_Weights!B$4</f>
        <v>78.2</v>
      </c>
      <c r="K333" s="12">
        <v>0.75</v>
      </c>
      <c r="L333" s="8">
        <v>0.94</v>
      </c>
      <c r="M333" s="12">
        <f t="shared" si="2"/>
        <v>0.94</v>
      </c>
      <c r="N333" s="8" t="s">
        <v>563</v>
      </c>
      <c r="O333" s="13">
        <f>vlookup(N333,Interview_Slots!$A$1:$D$5,3,false)</f>
        <v>60</v>
      </c>
      <c r="P333" s="13">
        <f>vlookup(N333,Interview_Slots!$A$1:$D$5,4,false)</f>
        <v>70</v>
      </c>
      <c r="Q333" s="13" t="str">
        <f t="shared" si="3"/>
        <v>Eligible</v>
      </c>
      <c r="R333" s="7" t="s">
        <v>22</v>
      </c>
    </row>
    <row r="334" ht="15.75" customHeight="1">
      <c r="A334" s="8" t="s">
        <v>677</v>
      </c>
      <c r="B334" s="8" t="s">
        <v>678</v>
      </c>
      <c r="C334" s="8" t="s">
        <v>83</v>
      </c>
      <c r="D334" s="9" t="str">
        <f>vlookup(C334,Dept_Lookup!A$1:B$17,2,false)</f>
        <v>Civil</v>
      </c>
      <c r="E334" s="9">
        <v>45893.0</v>
      </c>
      <c r="F334" s="10">
        <f t="shared" si="1"/>
        <v>45893</v>
      </c>
      <c r="G334" s="8">
        <v>89.0</v>
      </c>
      <c r="H334" s="8">
        <v>82.0</v>
      </c>
      <c r="I334" s="8">
        <v>72.0</v>
      </c>
      <c r="J334" s="11">
        <f>G334*Scoring_Weights!B$2+H334*Scoring_Weights!B$3+I334*Scoring_Weights!B$4</f>
        <v>78.05</v>
      </c>
      <c r="K334" s="12">
        <v>0.75</v>
      </c>
      <c r="L334" s="8">
        <v>0.99</v>
      </c>
      <c r="M334" s="12">
        <f t="shared" si="2"/>
        <v>0.99</v>
      </c>
      <c r="N334" s="8" t="s">
        <v>563</v>
      </c>
      <c r="O334" s="13">
        <f>vlookup(N334,Interview_Slots!$A$1:$D$5,3,false)</f>
        <v>60</v>
      </c>
      <c r="P334" s="13">
        <f>vlookup(N334,Interview_Slots!$A$1:$D$5,4,false)</f>
        <v>70</v>
      </c>
      <c r="Q334" s="13" t="str">
        <f t="shared" si="3"/>
        <v>Eligible</v>
      </c>
      <c r="R334" s="7" t="s">
        <v>22</v>
      </c>
    </row>
    <row r="335" ht="15.75" customHeight="1">
      <c r="A335" s="8" t="s">
        <v>679</v>
      </c>
      <c r="B335" s="8" t="s">
        <v>680</v>
      </c>
      <c r="C335" s="8" t="s">
        <v>28</v>
      </c>
      <c r="D335" s="9" t="str">
        <f>vlookup(C335,Dept_Lookup!A$1:B$17,2,false)</f>
        <v>Electronics</v>
      </c>
      <c r="E335" s="9">
        <v>45893.0</v>
      </c>
      <c r="F335" s="10">
        <f t="shared" si="1"/>
        <v>45893</v>
      </c>
      <c r="G335" s="8">
        <v>72.0</v>
      </c>
      <c r="H335" s="8">
        <v>91.0</v>
      </c>
      <c r="I335" s="8">
        <v>70.0</v>
      </c>
      <c r="J335" s="11">
        <f>G335*Scoring_Weights!B$2+H335*Scoring_Weights!B$3+I335*Scoring_Weights!B$4</f>
        <v>77.65</v>
      </c>
      <c r="K335" s="12">
        <v>0.93</v>
      </c>
      <c r="L335" s="12">
        <v>0.82</v>
      </c>
      <c r="M335" s="12">
        <f t="shared" si="2"/>
        <v>0.82</v>
      </c>
      <c r="N335" s="8" t="s">
        <v>563</v>
      </c>
      <c r="O335" s="13">
        <f>vlookup(N335,Interview_Slots!$A$1:$D$5,3,false)</f>
        <v>60</v>
      </c>
      <c r="P335" s="13">
        <f>vlookup(N335,Interview_Slots!$A$1:$D$5,4,false)</f>
        <v>70</v>
      </c>
      <c r="Q335" s="13" t="str">
        <f t="shared" si="3"/>
        <v>Eligible</v>
      </c>
      <c r="R335" s="7" t="s">
        <v>22</v>
      </c>
    </row>
    <row r="336" ht="15.75" customHeight="1">
      <c r="A336" s="8" t="s">
        <v>681</v>
      </c>
      <c r="B336" s="8" t="s">
        <v>682</v>
      </c>
      <c r="C336" s="8" t="s">
        <v>105</v>
      </c>
      <c r="D336" s="9" t="str">
        <f>vlookup(C336,Dept_Lookup!A$1:B$17,2,false)</f>
        <v>Civil</v>
      </c>
      <c r="E336" s="14">
        <v>45865.0</v>
      </c>
      <c r="F336" s="10">
        <f t="shared" si="1"/>
        <v>45865</v>
      </c>
      <c r="G336" s="8">
        <v>68.0</v>
      </c>
      <c r="H336" s="8">
        <v>91.0</v>
      </c>
      <c r="I336" s="8">
        <v>71.0</v>
      </c>
      <c r="J336" s="11">
        <f>G336*Scoring_Weights!B$2+H336*Scoring_Weights!B$3+I336*Scoring_Weights!B$4</f>
        <v>77.55</v>
      </c>
      <c r="K336" s="12">
        <v>0.81</v>
      </c>
      <c r="L336" s="15">
        <v>0.73</v>
      </c>
      <c r="M336" s="12">
        <f t="shared" si="2"/>
        <v>0.73</v>
      </c>
      <c r="N336" s="8" t="s">
        <v>563</v>
      </c>
      <c r="O336" s="13">
        <f>vlookup(N336,Interview_Slots!$A$1:$D$5,3,false)</f>
        <v>60</v>
      </c>
      <c r="P336" s="13">
        <f>vlookup(N336,Interview_Slots!$A$1:$D$5,4,false)</f>
        <v>70</v>
      </c>
      <c r="Q336" s="13" t="str">
        <f t="shared" si="3"/>
        <v>Eligible</v>
      </c>
      <c r="R336" s="7" t="s">
        <v>22</v>
      </c>
    </row>
    <row r="337" ht="15.75" customHeight="1">
      <c r="A337" s="8" t="s">
        <v>683</v>
      </c>
      <c r="B337" s="8" t="s">
        <v>684</v>
      </c>
      <c r="C337" s="8" t="s">
        <v>50</v>
      </c>
      <c r="D337" s="9" t="str">
        <f>vlookup(C337,Dept_Lookup!A$1:B$17,2,false)</f>
        <v>Electronics</v>
      </c>
      <c r="E337" s="14">
        <v>45865.0</v>
      </c>
      <c r="F337" s="10">
        <f t="shared" si="1"/>
        <v>45865</v>
      </c>
      <c r="G337" s="8">
        <v>73.0</v>
      </c>
      <c r="H337" s="8">
        <v>90.0</v>
      </c>
      <c r="I337" s="8">
        <v>70.0</v>
      </c>
      <c r="J337" s="11">
        <f>G337*Scoring_Weights!B$2+H337*Scoring_Weights!B$3+I337*Scoring_Weights!B$4</f>
        <v>77.45</v>
      </c>
      <c r="K337" s="12">
        <v>0.8</v>
      </c>
      <c r="L337" s="12">
        <v>0.93</v>
      </c>
      <c r="M337" s="12">
        <f t="shared" si="2"/>
        <v>0.93</v>
      </c>
      <c r="N337" s="8" t="s">
        <v>563</v>
      </c>
      <c r="O337" s="13">
        <f>vlookup(N337,Interview_Slots!$A$1:$D$5,3,false)</f>
        <v>60</v>
      </c>
      <c r="P337" s="13">
        <f>vlookup(N337,Interview_Slots!$A$1:$D$5,4,false)</f>
        <v>70</v>
      </c>
      <c r="Q337" s="13" t="str">
        <f t="shared" si="3"/>
        <v>Eligible</v>
      </c>
      <c r="R337" s="7" t="s">
        <v>22</v>
      </c>
    </row>
    <row r="338" ht="15.75" customHeight="1">
      <c r="A338" s="8" t="s">
        <v>685</v>
      </c>
      <c r="B338" s="8" t="s">
        <v>686</v>
      </c>
      <c r="C338" s="8" t="s">
        <v>25</v>
      </c>
      <c r="D338" s="9" t="str">
        <f>vlookup(C338,Dept_Lookup!A$1:B$17,2,false)</f>
        <v>Computer Science</v>
      </c>
      <c r="E338" s="14">
        <v>45929.0</v>
      </c>
      <c r="F338" s="10">
        <f t="shared" si="1"/>
        <v>45929</v>
      </c>
      <c r="G338" s="8">
        <v>95.0</v>
      </c>
      <c r="H338" s="8">
        <v>73.0</v>
      </c>
      <c r="I338" s="8">
        <v>75.0</v>
      </c>
      <c r="J338" s="11">
        <f>G338*Scoring_Weights!B$2+H338*Scoring_Weights!B$3+I338*Scoring_Weights!B$4</f>
        <v>77.3</v>
      </c>
      <c r="K338" s="12">
        <v>0.93</v>
      </c>
      <c r="L338" s="8">
        <v>0.86</v>
      </c>
      <c r="M338" s="12">
        <f t="shared" si="2"/>
        <v>0.86</v>
      </c>
      <c r="N338" s="8" t="s">
        <v>563</v>
      </c>
      <c r="O338" s="13">
        <f>vlookup(N338,Interview_Slots!$A$1:$D$5,3,false)</f>
        <v>60</v>
      </c>
      <c r="P338" s="13">
        <f>vlookup(N338,Interview_Slots!$A$1:$D$5,4,false)</f>
        <v>70</v>
      </c>
      <c r="Q338" s="13" t="str">
        <f t="shared" si="3"/>
        <v>Eligible</v>
      </c>
      <c r="R338" s="7" t="s">
        <v>22</v>
      </c>
    </row>
    <row r="339" ht="15.75" customHeight="1">
      <c r="A339" s="8" t="s">
        <v>687</v>
      </c>
      <c r="B339" s="8" t="s">
        <v>688</v>
      </c>
      <c r="C339" s="8" t="s">
        <v>50</v>
      </c>
      <c r="D339" s="9" t="str">
        <f>vlookup(C339,Dept_Lookup!A$1:B$17,2,false)</f>
        <v>Electronics</v>
      </c>
      <c r="E339" s="9">
        <v>45870.0</v>
      </c>
      <c r="F339" s="10">
        <f t="shared" si="1"/>
        <v>45870</v>
      </c>
      <c r="G339" s="8">
        <v>75.0</v>
      </c>
      <c r="H339" s="8">
        <v>67.0</v>
      </c>
      <c r="I339" s="8">
        <v>85.0</v>
      </c>
      <c r="J339" s="11">
        <f>G339*Scoring_Weights!B$2+H339*Scoring_Weights!B$3+I339*Scoring_Weights!B$4</f>
        <v>77.2</v>
      </c>
      <c r="K339" s="12">
        <v>0.84</v>
      </c>
      <c r="L339" s="8">
        <v>0.91</v>
      </c>
      <c r="M339" s="12">
        <f t="shared" si="2"/>
        <v>0.91</v>
      </c>
      <c r="N339" s="8" t="s">
        <v>563</v>
      </c>
      <c r="O339" s="13">
        <f>vlookup(N339,Interview_Slots!$A$1:$D$5,3,false)</f>
        <v>60</v>
      </c>
      <c r="P339" s="13">
        <f>vlookup(N339,Interview_Slots!$A$1:$D$5,4,false)</f>
        <v>70</v>
      </c>
      <c r="Q339" s="13" t="str">
        <f t="shared" si="3"/>
        <v>Eligible</v>
      </c>
      <c r="R339" s="7" t="s">
        <v>22</v>
      </c>
    </row>
    <row r="340" ht="15.75" customHeight="1">
      <c r="A340" s="8" t="s">
        <v>689</v>
      </c>
      <c r="B340" s="8" t="s">
        <v>690</v>
      </c>
      <c r="C340" s="8" t="s">
        <v>72</v>
      </c>
      <c r="D340" s="9" t="str">
        <f>vlookup(C340,Dept_Lookup!A$1:B$17,2,false)</f>
        <v>Mechanical</v>
      </c>
      <c r="E340" s="9">
        <v>45879.0</v>
      </c>
      <c r="F340" s="10">
        <f t="shared" si="1"/>
        <v>45879</v>
      </c>
      <c r="G340" s="8">
        <v>79.0</v>
      </c>
      <c r="H340" s="8">
        <v>71.0</v>
      </c>
      <c r="I340" s="8">
        <v>81.0</v>
      </c>
      <c r="J340" s="11">
        <f>G340*Scoring_Weights!B$2+H340*Scoring_Weights!B$3+I340*Scoring_Weights!B$4</f>
        <v>77.2</v>
      </c>
      <c r="K340" s="12">
        <v>0.95</v>
      </c>
      <c r="L340" s="8">
        <v>0.93</v>
      </c>
      <c r="M340" s="12">
        <f t="shared" si="2"/>
        <v>0.93</v>
      </c>
      <c r="N340" s="8" t="s">
        <v>563</v>
      </c>
      <c r="O340" s="13">
        <f>vlookup(N340,Interview_Slots!$A$1:$D$5,3,false)</f>
        <v>60</v>
      </c>
      <c r="P340" s="13">
        <f>vlookup(N340,Interview_Slots!$A$1:$D$5,4,false)</f>
        <v>70</v>
      </c>
      <c r="Q340" s="13" t="str">
        <f t="shared" si="3"/>
        <v>Eligible</v>
      </c>
      <c r="R340" s="7" t="s">
        <v>22</v>
      </c>
    </row>
    <row r="341" ht="15.75" customHeight="1">
      <c r="A341" s="8" t="s">
        <v>691</v>
      </c>
      <c r="B341" s="8" t="s">
        <v>692</v>
      </c>
      <c r="C341" s="8" t="s">
        <v>44</v>
      </c>
      <c r="D341" s="9" t="str">
        <f>vlookup(C341,Dept_Lookup!A$1:B$17,2,false)</f>
        <v>Computer Science</v>
      </c>
      <c r="E341" s="9">
        <v>45889.0</v>
      </c>
      <c r="F341" s="10">
        <f t="shared" si="1"/>
        <v>45889</v>
      </c>
      <c r="G341" s="8">
        <v>97.0</v>
      </c>
      <c r="H341" s="8">
        <v>83.0</v>
      </c>
      <c r="I341" s="8">
        <v>67.0</v>
      </c>
      <c r="J341" s="11">
        <f>G341*Scoring_Weights!B$2+H341*Scoring_Weights!B$3+I341*Scoring_Weights!B$4</f>
        <v>77.1</v>
      </c>
      <c r="K341" s="12">
        <v>0.89</v>
      </c>
      <c r="L341" s="8">
        <v>0.98</v>
      </c>
      <c r="M341" s="12">
        <f t="shared" si="2"/>
        <v>0.98</v>
      </c>
      <c r="N341" s="8" t="s">
        <v>563</v>
      </c>
      <c r="O341" s="13">
        <f>vlookup(N341,Interview_Slots!$A$1:$D$5,3,false)</f>
        <v>60</v>
      </c>
      <c r="P341" s="13">
        <f>vlookup(N341,Interview_Slots!$A$1:$D$5,4,false)</f>
        <v>70</v>
      </c>
      <c r="Q341" s="13" t="str">
        <f t="shared" si="3"/>
        <v>Eligible</v>
      </c>
      <c r="R341" s="7" t="s">
        <v>22</v>
      </c>
    </row>
    <row r="342" ht="15.75" customHeight="1">
      <c r="A342" s="8" t="s">
        <v>693</v>
      </c>
      <c r="B342" s="8" t="s">
        <v>694</v>
      </c>
      <c r="C342" s="8" t="s">
        <v>20</v>
      </c>
      <c r="D342" s="9" t="str">
        <f>vlookup(C342,Dept_Lookup!A$1:B$17,2,false)</f>
        <v>Electronics</v>
      </c>
      <c r="E342" s="9">
        <v>45866.0</v>
      </c>
      <c r="F342" s="10">
        <f t="shared" si="1"/>
        <v>45866</v>
      </c>
      <c r="G342" s="8">
        <v>78.0</v>
      </c>
      <c r="H342" s="8">
        <v>61.0</v>
      </c>
      <c r="I342" s="8">
        <v>88.0</v>
      </c>
      <c r="J342" s="11">
        <f>G342*Scoring_Weights!B$2+H342*Scoring_Weights!B$3+I342*Scoring_Weights!B$4</f>
        <v>77.05</v>
      </c>
      <c r="K342" s="12">
        <v>0.92</v>
      </c>
      <c r="L342" s="8">
        <v>0.88</v>
      </c>
      <c r="M342" s="12">
        <f t="shared" si="2"/>
        <v>0.88</v>
      </c>
      <c r="N342" s="8" t="s">
        <v>563</v>
      </c>
      <c r="O342" s="13">
        <f>vlookup(N342,Interview_Slots!$A$1:$D$5,3,false)</f>
        <v>60</v>
      </c>
      <c r="P342" s="13">
        <f>vlookup(N342,Interview_Slots!$A$1:$D$5,4,false)</f>
        <v>70</v>
      </c>
      <c r="Q342" s="13" t="str">
        <f t="shared" si="3"/>
        <v>Eligible</v>
      </c>
      <c r="R342" s="7" t="s">
        <v>22</v>
      </c>
    </row>
    <row r="343" ht="15.75" customHeight="1">
      <c r="A343" s="8" t="s">
        <v>695</v>
      </c>
      <c r="B343" s="8" t="s">
        <v>696</v>
      </c>
      <c r="C343" s="8" t="s">
        <v>161</v>
      </c>
      <c r="D343" s="9" t="str">
        <f>vlookup(C343,Dept_Lookup!A$1:B$17,2,false)</f>
        <v>Mechanical</v>
      </c>
      <c r="E343" s="14">
        <v>45882.0</v>
      </c>
      <c r="F343" s="10">
        <f t="shared" si="1"/>
        <v>45882</v>
      </c>
      <c r="G343" s="8">
        <v>70.0</v>
      </c>
      <c r="H343" s="8">
        <v>87.0</v>
      </c>
      <c r="I343" s="8">
        <v>72.0</v>
      </c>
      <c r="J343" s="11">
        <f>G343*Scoring_Weights!B$2+H343*Scoring_Weights!B$3+I343*Scoring_Weights!B$4</f>
        <v>76.95</v>
      </c>
      <c r="K343" s="12">
        <v>0.88</v>
      </c>
      <c r="L343" s="8">
        <v>0.91</v>
      </c>
      <c r="M343" s="12">
        <f t="shared" si="2"/>
        <v>0.91</v>
      </c>
      <c r="N343" s="8" t="s">
        <v>563</v>
      </c>
      <c r="O343" s="13">
        <f>vlookup(N343,Interview_Slots!$A$1:$D$5,3,false)</f>
        <v>60</v>
      </c>
      <c r="P343" s="13">
        <f>vlookup(N343,Interview_Slots!$A$1:$D$5,4,false)</f>
        <v>70</v>
      </c>
      <c r="Q343" s="13" t="str">
        <f t="shared" si="3"/>
        <v>Eligible</v>
      </c>
      <c r="R343" s="7" t="s">
        <v>22</v>
      </c>
    </row>
    <row r="344" ht="15.75" customHeight="1">
      <c r="A344" s="8" t="s">
        <v>697</v>
      </c>
      <c r="B344" s="8" t="s">
        <v>698</v>
      </c>
      <c r="C344" s="8" t="s">
        <v>72</v>
      </c>
      <c r="D344" s="9" t="str">
        <f>vlookup(C344,Dept_Lookup!A$1:B$17,2,false)</f>
        <v>Mechanical</v>
      </c>
      <c r="E344" s="9">
        <v>45887.0</v>
      </c>
      <c r="F344" s="10">
        <f t="shared" si="1"/>
        <v>45887</v>
      </c>
      <c r="G344" s="8">
        <v>67.0</v>
      </c>
      <c r="H344" s="8">
        <v>88.0</v>
      </c>
      <c r="I344" s="8">
        <v>72.0</v>
      </c>
      <c r="J344" s="11">
        <f>G344*Scoring_Weights!B$2+H344*Scoring_Weights!B$3+I344*Scoring_Weights!B$4</f>
        <v>76.85</v>
      </c>
      <c r="K344" s="12">
        <v>0.85</v>
      </c>
      <c r="L344" s="8">
        <v>0.78</v>
      </c>
      <c r="M344" s="12">
        <f t="shared" si="2"/>
        <v>0.78</v>
      </c>
      <c r="N344" s="8" t="s">
        <v>563</v>
      </c>
      <c r="O344" s="13">
        <f>vlookup(N344,Interview_Slots!$A$1:$D$5,3,false)</f>
        <v>60</v>
      </c>
      <c r="P344" s="13">
        <f>vlookup(N344,Interview_Slots!$A$1:$D$5,4,false)</f>
        <v>70</v>
      </c>
      <c r="Q344" s="13" t="str">
        <f t="shared" si="3"/>
        <v>Eligible</v>
      </c>
      <c r="R344" s="7" t="s">
        <v>22</v>
      </c>
    </row>
    <row r="345" ht="15.75" customHeight="1">
      <c r="A345" s="8" t="s">
        <v>699</v>
      </c>
      <c r="B345" s="8" t="s">
        <v>700</v>
      </c>
      <c r="C345" s="8" t="s">
        <v>108</v>
      </c>
      <c r="D345" s="9" t="str">
        <f>vlookup(C345,Dept_Lookup!A$1:B$17,2,false)</f>
        <v>Civil</v>
      </c>
      <c r="E345" s="14">
        <v>45865.0</v>
      </c>
      <c r="F345" s="10">
        <f t="shared" si="1"/>
        <v>45865</v>
      </c>
      <c r="G345" s="8">
        <v>66.0</v>
      </c>
      <c r="H345" s="8">
        <v>94.0</v>
      </c>
      <c r="I345" s="8">
        <v>68.0</v>
      </c>
      <c r="J345" s="11">
        <f>G345*Scoring_Weights!B$2+H345*Scoring_Weights!B$3+I345*Scoring_Weights!B$4</f>
        <v>76.8</v>
      </c>
      <c r="K345" s="12">
        <v>0.82</v>
      </c>
      <c r="L345" s="8">
        <v>0.85</v>
      </c>
      <c r="M345" s="12">
        <f t="shared" si="2"/>
        <v>0.85</v>
      </c>
      <c r="N345" s="8" t="s">
        <v>563</v>
      </c>
      <c r="O345" s="13">
        <f>vlookup(N345,Interview_Slots!$A$1:$D$5,3,false)</f>
        <v>60</v>
      </c>
      <c r="P345" s="13">
        <f>vlookup(N345,Interview_Slots!$A$1:$D$5,4,false)</f>
        <v>70</v>
      </c>
      <c r="Q345" s="13" t="str">
        <f t="shared" si="3"/>
        <v>Eligible</v>
      </c>
      <c r="R345" s="7" t="s">
        <v>22</v>
      </c>
    </row>
    <row r="346" ht="15.75" customHeight="1">
      <c r="A346" s="8" t="s">
        <v>701</v>
      </c>
      <c r="B346" s="8" t="s">
        <v>702</v>
      </c>
      <c r="C346" s="8" t="s">
        <v>35</v>
      </c>
      <c r="D346" s="9" t="str">
        <f>vlookup(C346,Dept_Lookup!A$1:B$17,2,false)</f>
        <v>Electronics</v>
      </c>
      <c r="E346" s="14">
        <v>45854.0</v>
      </c>
      <c r="F346" s="10">
        <f t="shared" si="1"/>
        <v>45854</v>
      </c>
      <c r="G346" s="8">
        <v>82.0</v>
      </c>
      <c r="H346" s="8">
        <v>92.0</v>
      </c>
      <c r="I346" s="8">
        <v>64.0</v>
      </c>
      <c r="J346" s="11">
        <f>G346*Scoring_Weights!B$2+H346*Scoring_Weights!B$3+I346*Scoring_Weights!B$4</f>
        <v>76.5</v>
      </c>
      <c r="K346" s="12">
        <v>0.95</v>
      </c>
      <c r="L346" s="8">
        <v>0.98</v>
      </c>
      <c r="M346" s="12">
        <f t="shared" si="2"/>
        <v>0.98</v>
      </c>
      <c r="N346" s="8" t="s">
        <v>563</v>
      </c>
      <c r="O346" s="13">
        <f>vlookup(N346,Interview_Slots!$A$1:$D$5,3,false)</f>
        <v>60</v>
      </c>
      <c r="P346" s="13">
        <f>vlookup(N346,Interview_Slots!$A$1:$D$5,4,false)</f>
        <v>70</v>
      </c>
      <c r="Q346" s="13" t="str">
        <f t="shared" si="3"/>
        <v>Eligible</v>
      </c>
      <c r="R346" s="7" t="s">
        <v>22</v>
      </c>
    </row>
    <row r="347" ht="15.75" customHeight="1">
      <c r="A347" s="8" t="s">
        <v>703</v>
      </c>
      <c r="B347" s="8" t="s">
        <v>704</v>
      </c>
      <c r="C347" s="8" t="s">
        <v>47</v>
      </c>
      <c r="D347" s="9" t="str">
        <f>vlookup(C347,Dept_Lookup!A$1:B$17,2,false)</f>
        <v>Civil</v>
      </c>
      <c r="E347" s="14">
        <v>45900.0</v>
      </c>
      <c r="F347" s="10">
        <f t="shared" si="1"/>
        <v>45900</v>
      </c>
      <c r="G347" s="8">
        <v>61.0</v>
      </c>
      <c r="H347" s="8">
        <v>59.0</v>
      </c>
      <c r="I347" s="8">
        <v>93.0</v>
      </c>
      <c r="J347" s="11">
        <f>G347*Scoring_Weights!B$2+H347*Scoring_Weights!B$3+I347*Scoring_Weights!B$4</f>
        <v>76.3</v>
      </c>
      <c r="K347" s="12">
        <v>0.77</v>
      </c>
      <c r="L347" s="8">
        <v>0.76</v>
      </c>
      <c r="M347" s="12">
        <f t="shared" si="2"/>
        <v>0.76</v>
      </c>
      <c r="N347" s="8" t="s">
        <v>563</v>
      </c>
      <c r="O347" s="13">
        <f>vlookup(N347,Interview_Slots!$A$1:$D$5,3,false)</f>
        <v>60</v>
      </c>
      <c r="P347" s="13">
        <f>vlookup(N347,Interview_Slots!$A$1:$D$5,4,false)</f>
        <v>70</v>
      </c>
      <c r="Q347" s="13" t="str">
        <f t="shared" si="3"/>
        <v>Eligible</v>
      </c>
      <c r="R347" s="7" t="s">
        <v>22</v>
      </c>
    </row>
    <row r="348" ht="15.75" customHeight="1">
      <c r="A348" s="8" t="s">
        <v>705</v>
      </c>
      <c r="B348" s="8" t="s">
        <v>706</v>
      </c>
      <c r="C348" s="8" t="s">
        <v>83</v>
      </c>
      <c r="D348" s="9" t="str">
        <f>vlookup(C348,Dept_Lookup!A$1:B$17,2,false)</f>
        <v>Civil</v>
      </c>
      <c r="E348" s="9">
        <v>45878.0</v>
      </c>
      <c r="F348" s="10">
        <f t="shared" si="1"/>
        <v>45878</v>
      </c>
      <c r="G348" s="8">
        <v>71.0</v>
      </c>
      <c r="H348" s="8">
        <v>60.0</v>
      </c>
      <c r="I348" s="8">
        <v>89.0</v>
      </c>
      <c r="J348" s="11">
        <f>G348*Scoring_Weights!B$2+H348*Scoring_Weights!B$3+I348*Scoring_Weights!B$4</f>
        <v>76.15</v>
      </c>
      <c r="K348" s="12">
        <v>0.75</v>
      </c>
      <c r="L348" s="8">
        <v>0.94</v>
      </c>
      <c r="M348" s="12">
        <f t="shared" si="2"/>
        <v>0.94</v>
      </c>
      <c r="N348" s="8" t="s">
        <v>563</v>
      </c>
      <c r="O348" s="13">
        <f>vlookup(N348,Interview_Slots!$A$1:$D$5,3,false)</f>
        <v>60</v>
      </c>
      <c r="P348" s="13">
        <f>vlookup(N348,Interview_Slots!$A$1:$D$5,4,false)</f>
        <v>70</v>
      </c>
      <c r="Q348" s="13" t="str">
        <f t="shared" si="3"/>
        <v>Eligible</v>
      </c>
      <c r="R348" s="7" t="s">
        <v>22</v>
      </c>
    </row>
    <row r="349" ht="15.75" customHeight="1">
      <c r="A349" s="8" t="s">
        <v>707</v>
      </c>
      <c r="B349" s="8" t="s">
        <v>708</v>
      </c>
      <c r="C349" s="8" t="s">
        <v>161</v>
      </c>
      <c r="D349" s="9" t="str">
        <f>vlookup(C349,Dept_Lookup!A$1:B$17,2,false)</f>
        <v>Mechanical</v>
      </c>
      <c r="E349" s="14">
        <v>45900.0</v>
      </c>
      <c r="F349" s="10">
        <f t="shared" si="1"/>
        <v>45900</v>
      </c>
      <c r="G349" s="8">
        <v>59.0</v>
      </c>
      <c r="H349" s="8">
        <v>89.0</v>
      </c>
      <c r="I349" s="8">
        <v>72.0</v>
      </c>
      <c r="J349" s="11">
        <f>G349*Scoring_Weights!B$2+H349*Scoring_Weights!B$3+I349*Scoring_Weights!B$4</f>
        <v>76</v>
      </c>
      <c r="K349" s="12">
        <v>0.87</v>
      </c>
      <c r="L349" s="8">
        <v>0.83</v>
      </c>
      <c r="M349" s="12">
        <f t="shared" si="2"/>
        <v>0.83</v>
      </c>
      <c r="N349" s="8" t="s">
        <v>563</v>
      </c>
      <c r="O349" s="13">
        <f>vlookup(N349,Interview_Slots!$A$1:$D$5,3,false)</f>
        <v>60</v>
      </c>
      <c r="P349" s="13">
        <f>vlookup(N349,Interview_Slots!$A$1:$D$5,4,false)</f>
        <v>70</v>
      </c>
      <c r="Q349" s="13" t="str">
        <f t="shared" si="3"/>
        <v>Eligible</v>
      </c>
      <c r="R349" s="7" t="s">
        <v>22</v>
      </c>
    </row>
    <row r="350" ht="15.75" customHeight="1">
      <c r="A350" s="8" t="s">
        <v>709</v>
      </c>
      <c r="B350" s="8" t="s">
        <v>710</v>
      </c>
      <c r="C350" s="8" t="s">
        <v>47</v>
      </c>
      <c r="D350" s="9" t="str">
        <f>vlookup(C350,Dept_Lookup!A$1:B$17,2,false)</f>
        <v>Civil</v>
      </c>
      <c r="E350" s="14">
        <v>45865.0</v>
      </c>
      <c r="F350" s="10">
        <f t="shared" si="1"/>
        <v>45865</v>
      </c>
      <c r="G350" s="8">
        <v>84.0</v>
      </c>
      <c r="H350" s="8">
        <v>74.0</v>
      </c>
      <c r="I350" s="8">
        <v>75.0</v>
      </c>
      <c r="J350" s="11">
        <f>G350*Scoring_Weights!B$2+H350*Scoring_Weights!B$3+I350*Scoring_Weights!B$4</f>
        <v>76</v>
      </c>
      <c r="K350" s="12">
        <v>0.77</v>
      </c>
      <c r="L350" s="12">
        <v>0.95</v>
      </c>
      <c r="M350" s="12">
        <f t="shared" si="2"/>
        <v>0.95</v>
      </c>
      <c r="N350" s="8" t="s">
        <v>563</v>
      </c>
      <c r="O350" s="13">
        <f>vlookup(N350,Interview_Slots!$A$1:$D$5,3,false)</f>
        <v>60</v>
      </c>
      <c r="P350" s="13">
        <f>vlookup(N350,Interview_Slots!$A$1:$D$5,4,false)</f>
        <v>70</v>
      </c>
      <c r="Q350" s="13" t="str">
        <f t="shared" si="3"/>
        <v>Eligible</v>
      </c>
      <c r="R350" s="7" t="s">
        <v>22</v>
      </c>
    </row>
    <row r="351" ht="15.75" customHeight="1">
      <c r="A351" s="8" t="s">
        <v>711</v>
      </c>
      <c r="B351" s="8" t="s">
        <v>712</v>
      </c>
      <c r="C351" s="8" t="s">
        <v>108</v>
      </c>
      <c r="D351" s="9" t="str">
        <f>vlookup(C351,Dept_Lookup!A$1:B$17,2,false)</f>
        <v>Civil</v>
      </c>
      <c r="E351" s="14">
        <v>45865.0</v>
      </c>
      <c r="F351" s="10">
        <f t="shared" si="1"/>
        <v>45865</v>
      </c>
      <c r="G351" s="8">
        <v>72.0</v>
      </c>
      <c r="H351" s="8">
        <v>96.0</v>
      </c>
      <c r="I351" s="8">
        <v>63.0</v>
      </c>
      <c r="J351" s="11">
        <f>G351*Scoring_Weights!B$2+H351*Scoring_Weights!B$3+I351*Scoring_Weights!B$4</f>
        <v>75.9</v>
      </c>
      <c r="K351" s="12">
        <v>0.81</v>
      </c>
      <c r="L351" s="8">
        <v>0.85</v>
      </c>
      <c r="M351" s="12">
        <f t="shared" si="2"/>
        <v>0.85</v>
      </c>
      <c r="N351" s="8" t="s">
        <v>563</v>
      </c>
      <c r="O351" s="13">
        <f>vlookup(N351,Interview_Slots!$A$1:$D$5,3,false)</f>
        <v>60</v>
      </c>
      <c r="P351" s="13">
        <f>vlookup(N351,Interview_Slots!$A$1:$D$5,4,false)</f>
        <v>70</v>
      </c>
      <c r="Q351" s="13" t="str">
        <f t="shared" si="3"/>
        <v>Eligible</v>
      </c>
      <c r="R351" s="7" t="s">
        <v>22</v>
      </c>
    </row>
    <row r="352" ht="15.75" customHeight="1">
      <c r="A352" s="8" t="s">
        <v>713</v>
      </c>
      <c r="B352" s="8" t="s">
        <v>714</v>
      </c>
      <c r="C352" s="8" t="s">
        <v>57</v>
      </c>
      <c r="D352" s="9" t="str">
        <f>vlookup(C352,Dept_Lookup!A$1:B$17,2,false)</f>
        <v>Computer Science</v>
      </c>
      <c r="E352" s="9">
        <v>45870.0</v>
      </c>
      <c r="F352" s="10">
        <f t="shared" si="1"/>
        <v>45870</v>
      </c>
      <c r="G352" s="8">
        <v>67.0</v>
      </c>
      <c r="H352" s="8">
        <v>83.0</v>
      </c>
      <c r="I352" s="8">
        <v>73.0</v>
      </c>
      <c r="J352" s="11">
        <f>G352*Scoring_Weights!B$2+H352*Scoring_Weights!B$3+I352*Scoring_Weights!B$4</f>
        <v>75.6</v>
      </c>
      <c r="K352" s="12">
        <v>0.9</v>
      </c>
      <c r="L352" s="8">
        <v>0.89</v>
      </c>
      <c r="M352" s="12">
        <f t="shared" si="2"/>
        <v>0.89</v>
      </c>
      <c r="N352" s="8" t="s">
        <v>563</v>
      </c>
      <c r="O352" s="13">
        <f>vlookup(N352,Interview_Slots!$A$1:$D$5,3,false)</f>
        <v>60</v>
      </c>
      <c r="P352" s="13">
        <f>vlookup(N352,Interview_Slots!$A$1:$D$5,4,false)</f>
        <v>70</v>
      </c>
      <c r="Q352" s="13" t="str">
        <f t="shared" si="3"/>
        <v>Eligible</v>
      </c>
      <c r="R352" s="7" t="s">
        <v>22</v>
      </c>
    </row>
    <row r="353" ht="15.75" customHeight="1">
      <c r="A353" s="8" t="s">
        <v>715</v>
      </c>
      <c r="B353" s="8" t="s">
        <v>716</v>
      </c>
      <c r="C353" s="8" t="s">
        <v>20</v>
      </c>
      <c r="D353" s="9" t="str">
        <f>vlookup(C353,Dept_Lookup!A$1:B$17,2,false)</f>
        <v>Electronics</v>
      </c>
      <c r="E353" s="8" t="s">
        <v>92</v>
      </c>
      <c r="F353" s="10">
        <f t="shared" si="1"/>
        <v>45898</v>
      </c>
      <c r="G353" s="8">
        <v>98.0</v>
      </c>
      <c r="H353" s="8">
        <v>73.0</v>
      </c>
      <c r="I353" s="8">
        <v>70.0</v>
      </c>
      <c r="J353" s="11">
        <f>G353*Scoring_Weights!B$2+H353*Scoring_Weights!B$3+I353*Scoring_Weights!B$4</f>
        <v>75.25</v>
      </c>
      <c r="K353" s="12">
        <v>0.87</v>
      </c>
      <c r="L353" s="8">
        <v>0.82</v>
      </c>
      <c r="M353" s="12">
        <f t="shared" si="2"/>
        <v>0.82</v>
      </c>
      <c r="N353" s="8" t="s">
        <v>563</v>
      </c>
      <c r="O353" s="13">
        <f>vlookup(N353,Interview_Slots!$A$1:$D$5,3,false)</f>
        <v>60</v>
      </c>
      <c r="P353" s="13">
        <f>vlookup(N353,Interview_Slots!$A$1:$D$5,4,false)</f>
        <v>70</v>
      </c>
      <c r="Q353" s="13" t="str">
        <f t="shared" si="3"/>
        <v>Eligible</v>
      </c>
      <c r="R353" s="7" t="s">
        <v>162</v>
      </c>
    </row>
    <row r="354" ht="15.75" customHeight="1">
      <c r="A354" s="8" t="s">
        <v>717</v>
      </c>
      <c r="B354" s="8" t="s">
        <v>718</v>
      </c>
      <c r="C354" s="8" t="s">
        <v>57</v>
      </c>
      <c r="D354" s="9" t="str">
        <f>vlookup(C354,Dept_Lookup!A$1:B$17,2,false)</f>
        <v>Computer Science</v>
      </c>
      <c r="E354" s="14">
        <v>45884.0</v>
      </c>
      <c r="F354" s="10">
        <f t="shared" si="1"/>
        <v>45884</v>
      </c>
      <c r="G354" s="8">
        <v>98.0</v>
      </c>
      <c r="H354" s="8">
        <v>73.0</v>
      </c>
      <c r="I354" s="8">
        <v>70.0</v>
      </c>
      <c r="J354" s="11">
        <f>G354*Scoring_Weights!B$2+H354*Scoring_Weights!B$3+I354*Scoring_Weights!B$4</f>
        <v>75.25</v>
      </c>
      <c r="K354" s="12">
        <v>0.87</v>
      </c>
      <c r="L354" s="8">
        <v>0.82</v>
      </c>
      <c r="M354" s="12">
        <f t="shared" si="2"/>
        <v>0.82</v>
      </c>
      <c r="N354" s="8" t="s">
        <v>563</v>
      </c>
      <c r="O354" s="13">
        <f>vlookup(N354,Interview_Slots!$A$1:$D$5,3,false)</f>
        <v>60</v>
      </c>
      <c r="P354" s="13">
        <f>vlookup(N354,Interview_Slots!$A$1:$D$5,4,false)</f>
        <v>70</v>
      </c>
      <c r="Q354" s="13" t="str">
        <f t="shared" si="3"/>
        <v>Eligible</v>
      </c>
      <c r="R354" s="7" t="s">
        <v>162</v>
      </c>
    </row>
    <row r="355" ht="15.75" customHeight="1">
      <c r="A355" s="8" t="s">
        <v>719</v>
      </c>
      <c r="B355" s="8" t="s">
        <v>720</v>
      </c>
      <c r="C355" s="8" t="s">
        <v>161</v>
      </c>
      <c r="D355" s="9" t="str">
        <f>vlookup(C355,Dept_Lookup!A$1:B$17,2,false)</f>
        <v>Mechanical</v>
      </c>
      <c r="E355" s="9">
        <v>45887.0</v>
      </c>
      <c r="F355" s="10">
        <f t="shared" si="1"/>
        <v>45887</v>
      </c>
      <c r="G355" s="8">
        <v>58.0</v>
      </c>
      <c r="H355" s="8">
        <v>84.0</v>
      </c>
      <c r="I355" s="8">
        <v>74.0</v>
      </c>
      <c r="J355" s="11">
        <f>G355*Scoring_Weights!B$2+H355*Scoring_Weights!B$3+I355*Scoring_Weights!B$4</f>
        <v>75.1</v>
      </c>
      <c r="K355" s="12">
        <v>0.88</v>
      </c>
      <c r="L355" s="8">
        <v>0.89</v>
      </c>
      <c r="M355" s="12">
        <f t="shared" si="2"/>
        <v>0.89</v>
      </c>
      <c r="N355" s="8" t="s">
        <v>563</v>
      </c>
      <c r="O355" s="13">
        <f>vlookup(N355,Interview_Slots!$A$1:$D$5,3,false)</f>
        <v>60</v>
      </c>
      <c r="P355" s="13">
        <f>vlookup(N355,Interview_Slots!$A$1:$D$5,4,false)</f>
        <v>70</v>
      </c>
      <c r="Q355" s="13" t="str">
        <f t="shared" si="3"/>
        <v>Eligible</v>
      </c>
      <c r="R355" s="7" t="s">
        <v>162</v>
      </c>
    </row>
    <row r="356" ht="15.75" customHeight="1">
      <c r="A356" s="8" t="s">
        <v>721</v>
      </c>
      <c r="B356" s="8" t="s">
        <v>722</v>
      </c>
      <c r="C356" s="8" t="s">
        <v>57</v>
      </c>
      <c r="D356" s="9" t="str">
        <f>vlookup(C356,Dept_Lookup!A$1:B$17,2,false)</f>
        <v>Computer Science</v>
      </c>
      <c r="E356" s="14">
        <v>45842.0</v>
      </c>
      <c r="F356" s="10">
        <f t="shared" si="1"/>
        <v>45842</v>
      </c>
      <c r="G356" s="8">
        <v>70.0</v>
      </c>
      <c r="H356" s="8">
        <v>85.0</v>
      </c>
      <c r="I356" s="8">
        <v>69.0</v>
      </c>
      <c r="J356" s="11">
        <f>G356*Scoring_Weights!B$2+H356*Scoring_Weights!B$3+I356*Scoring_Weights!B$4</f>
        <v>74.75</v>
      </c>
      <c r="K356" s="12">
        <v>0.89</v>
      </c>
      <c r="L356" s="8">
        <v>0.87</v>
      </c>
      <c r="M356" s="12">
        <f t="shared" si="2"/>
        <v>0.87</v>
      </c>
      <c r="N356" s="8" t="s">
        <v>563</v>
      </c>
      <c r="O356" s="13">
        <f>vlookup(N356,Interview_Slots!$A$1:$D$5,3,false)</f>
        <v>60</v>
      </c>
      <c r="P356" s="13">
        <f>vlookup(N356,Interview_Slots!$A$1:$D$5,4,false)</f>
        <v>70</v>
      </c>
      <c r="Q356" s="13" t="str">
        <f t="shared" si="3"/>
        <v>Eligible</v>
      </c>
      <c r="R356" s="7" t="s">
        <v>162</v>
      </c>
    </row>
    <row r="357" ht="15.75" customHeight="1">
      <c r="A357" s="8" t="s">
        <v>723</v>
      </c>
      <c r="B357" s="8" t="s">
        <v>724</v>
      </c>
      <c r="C357" s="8" t="s">
        <v>83</v>
      </c>
      <c r="D357" s="9" t="str">
        <f>vlookup(C357,Dept_Lookup!A$1:B$17,2,false)</f>
        <v>Civil</v>
      </c>
      <c r="E357" s="14">
        <v>45865.0</v>
      </c>
      <c r="F357" s="10">
        <f t="shared" si="1"/>
        <v>45865</v>
      </c>
      <c r="G357" s="8">
        <v>63.0</v>
      </c>
      <c r="H357" s="8">
        <v>63.0</v>
      </c>
      <c r="I357" s="8">
        <v>86.0</v>
      </c>
      <c r="J357" s="11">
        <f>G357*Scoring_Weights!B$2+H357*Scoring_Weights!B$3+I357*Scoring_Weights!B$4</f>
        <v>74.5</v>
      </c>
      <c r="K357" s="12">
        <v>0.91</v>
      </c>
      <c r="L357" s="15">
        <v>0.73</v>
      </c>
      <c r="M357" s="12">
        <f t="shared" si="2"/>
        <v>0.73</v>
      </c>
      <c r="N357" s="8" t="s">
        <v>563</v>
      </c>
      <c r="O357" s="13">
        <f>vlookup(N357,Interview_Slots!$A$1:$D$5,3,false)</f>
        <v>60</v>
      </c>
      <c r="P357" s="13">
        <f>vlookup(N357,Interview_Slots!$A$1:$D$5,4,false)</f>
        <v>70</v>
      </c>
      <c r="Q357" s="13" t="str">
        <f t="shared" si="3"/>
        <v>Eligible</v>
      </c>
      <c r="R357" s="7" t="s">
        <v>162</v>
      </c>
    </row>
    <row r="358" ht="15.75" customHeight="1">
      <c r="A358" s="8" t="s">
        <v>725</v>
      </c>
      <c r="B358" s="8" t="s">
        <v>726</v>
      </c>
      <c r="C358" s="8" t="s">
        <v>83</v>
      </c>
      <c r="D358" s="9" t="str">
        <f>vlookup(C358,Dept_Lookup!A$1:B$17,2,false)</f>
        <v>Civil</v>
      </c>
      <c r="E358" s="14">
        <v>45880.0</v>
      </c>
      <c r="F358" s="10">
        <f t="shared" si="1"/>
        <v>45880</v>
      </c>
      <c r="G358" s="8">
        <v>79.0</v>
      </c>
      <c r="H358" s="8">
        <v>83.0</v>
      </c>
      <c r="I358" s="8">
        <v>67.0</v>
      </c>
      <c r="J358" s="11">
        <f>G358*Scoring_Weights!B$2+H358*Scoring_Weights!B$3+I358*Scoring_Weights!B$4</f>
        <v>74.4</v>
      </c>
      <c r="K358" s="12">
        <v>0.92</v>
      </c>
      <c r="L358" s="8">
        <v>0.78</v>
      </c>
      <c r="M358" s="12">
        <f t="shared" si="2"/>
        <v>0.78</v>
      </c>
      <c r="N358" s="8" t="s">
        <v>563</v>
      </c>
      <c r="O358" s="13">
        <f>vlookup(N358,Interview_Slots!$A$1:$D$5,3,false)</f>
        <v>60</v>
      </c>
      <c r="P358" s="13">
        <f>vlookup(N358,Interview_Slots!$A$1:$D$5,4,false)</f>
        <v>70</v>
      </c>
      <c r="Q358" s="13" t="str">
        <f t="shared" si="3"/>
        <v>Eligible</v>
      </c>
      <c r="R358" s="7" t="s">
        <v>162</v>
      </c>
    </row>
    <row r="359" ht="15.75" customHeight="1">
      <c r="A359" s="8" t="s">
        <v>727</v>
      </c>
      <c r="B359" s="8" t="s">
        <v>728</v>
      </c>
      <c r="C359" s="8" t="s">
        <v>28</v>
      </c>
      <c r="D359" s="9" t="str">
        <f>vlookup(C359,Dept_Lookup!A$1:B$17,2,false)</f>
        <v>Electronics</v>
      </c>
      <c r="E359" s="14">
        <v>45865.0</v>
      </c>
      <c r="F359" s="10">
        <f t="shared" si="1"/>
        <v>45865</v>
      </c>
      <c r="G359" s="8">
        <v>76.0</v>
      </c>
      <c r="H359" s="8">
        <v>87.0</v>
      </c>
      <c r="I359" s="8">
        <v>65.0</v>
      </c>
      <c r="J359" s="11">
        <f>G359*Scoring_Weights!B$2+H359*Scoring_Weights!B$3+I359*Scoring_Weights!B$4</f>
        <v>74.35</v>
      </c>
      <c r="K359" s="12">
        <v>0.88</v>
      </c>
      <c r="L359" s="8">
        <v>0.91</v>
      </c>
      <c r="M359" s="12">
        <f t="shared" si="2"/>
        <v>0.91</v>
      </c>
      <c r="N359" s="8" t="s">
        <v>563</v>
      </c>
      <c r="O359" s="13">
        <f>vlookup(N359,Interview_Slots!$A$1:$D$5,3,false)</f>
        <v>60</v>
      </c>
      <c r="P359" s="13">
        <f>vlookup(N359,Interview_Slots!$A$1:$D$5,4,false)</f>
        <v>70</v>
      </c>
      <c r="Q359" s="13" t="str">
        <f t="shared" si="3"/>
        <v>Eligible</v>
      </c>
      <c r="R359" s="7" t="s">
        <v>162</v>
      </c>
    </row>
    <row r="360" ht="15.75" customHeight="1">
      <c r="A360" s="8" t="s">
        <v>729</v>
      </c>
      <c r="B360" s="8" t="s">
        <v>730</v>
      </c>
      <c r="C360" s="8" t="s">
        <v>41</v>
      </c>
      <c r="D360" s="9" t="str">
        <f>vlookup(C360,Dept_Lookup!A$1:B$17,2,false)</f>
        <v>Mechanical</v>
      </c>
      <c r="E360" s="8" t="s">
        <v>92</v>
      </c>
      <c r="F360" s="10">
        <f t="shared" si="1"/>
        <v>45898</v>
      </c>
      <c r="G360" s="8">
        <v>55.0</v>
      </c>
      <c r="H360" s="8">
        <v>71.0</v>
      </c>
      <c r="I360" s="8">
        <v>82.0</v>
      </c>
      <c r="J360" s="11">
        <f>G360*Scoring_Weights!B$2+H360*Scoring_Weights!B$3+I360*Scoring_Weights!B$4</f>
        <v>74.1</v>
      </c>
      <c r="K360" s="12">
        <v>0.95</v>
      </c>
      <c r="L360" s="12">
        <v>0.78</v>
      </c>
      <c r="M360" s="12">
        <f t="shared" si="2"/>
        <v>0.78</v>
      </c>
      <c r="N360" s="8" t="s">
        <v>563</v>
      </c>
      <c r="O360" s="13">
        <f>vlookup(N360,Interview_Slots!$A$1:$D$5,3,false)</f>
        <v>60</v>
      </c>
      <c r="P360" s="13">
        <f>vlookup(N360,Interview_Slots!$A$1:$D$5,4,false)</f>
        <v>70</v>
      </c>
      <c r="Q360" s="13" t="str">
        <f t="shared" si="3"/>
        <v>Eligible</v>
      </c>
      <c r="R360" s="7" t="s">
        <v>162</v>
      </c>
    </row>
    <row r="361" ht="15.75" customHeight="1">
      <c r="A361" s="8" t="s">
        <v>731</v>
      </c>
      <c r="B361" s="8" t="s">
        <v>732</v>
      </c>
      <c r="C361" s="8" t="s">
        <v>72</v>
      </c>
      <c r="D361" s="9" t="str">
        <f>vlookup(C361,Dept_Lookup!A$1:B$17,2,false)</f>
        <v>Mechanical</v>
      </c>
      <c r="E361" s="14">
        <v>45900.0</v>
      </c>
      <c r="F361" s="10">
        <f t="shared" si="1"/>
        <v>45900</v>
      </c>
      <c r="G361" s="8">
        <v>75.0</v>
      </c>
      <c r="H361" s="8">
        <v>98.0</v>
      </c>
      <c r="I361" s="8">
        <v>57.0</v>
      </c>
      <c r="J361" s="11">
        <f>G361*Scoring_Weights!B$2+H361*Scoring_Weights!B$3+I361*Scoring_Weights!B$4</f>
        <v>74.05</v>
      </c>
      <c r="K361" s="12">
        <v>0.77</v>
      </c>
      <c r="L361" s="15">
        <v>0.73</v>
      </c>
      <c r="M361" s="12">
        <f t="shared" si="2"/>
        <v>0.73</v>
      </c>
      <c r="N361" s="8" t="s">
        <v>563</v>
      </c>
      <c r="O361" s="13">
        <f>vlookup(N361,Interview_Slots!$A$1:$D$5,3,false)</f>
        <v>60</v>
      </c>
      <c r="P361" s="13">
        <f>vlookup(N361,Interview_Slots!$A$1:$D$5,4,false)</f>
        <v>70</v>
      </c>
      <c r="Q361" s="13" t="str">
        <f t="shared" si="3"/>
        <v>Eligible</v>
      </c>
      <c r="R361" s="7" t="s">
        <v>162</v>
      </c>
    </row>
    <row r="362" ht="15.75" customHeight="1">
      <c r="A362" s="8" t="s">
        <v>733</v>
      </c>
      <c r="B362" s="8" t="s">
        <v>734</v>
      </c>
      <c r="C362" s="8" t="s">
        <v>28</v>
      </c>
      <c r="D362" s="9" t="str">
        <f>vlookup(C362,Dept_Lookup!A$1:B$17,2,false)</f>
        <v>Electronics</v>
      </c>
      <c r="E362" s="14">
        <v>45865.0</v>
      </c>
      <c r="F362" s="10">
        <f t="shared" si="1"/>
        <v>45865</v>
      </c>
      <c r="G362" s="8">
        <v>77.0</v>
      </c>
      <c r="H362" s="8">
        <v>89.0</v>
      </c>
      <c r="I362" s="8">
        <v>61.0</v>
      </c>
      <c r="J362" s="11">
        <f>G362*Scoring_Weights!B$2+H362*Scoring_Weights!B$3+I362*Scoring_Weights!B$4</f>
        <v>73.2</v>
      </c>
      <c r="K362" s="12">
        <v>0.88</v>
      </c>
      <c r="L362" s="8">
        <v>0.87</v>
      </c>
      <c r="M362" s="12">
        <f t="shared" si="2"/>
        <v>0.87</v>
      </c>
      <c r="N362" s="8" t="s">
        <v>563</v>
      </c>
      <c r="O362" s="13">
        <f>vlookup(N362,Interview_Slots!$A$1:$D$5,3,false)</f>
        <v>60</v>
      </c>
      <c r="P362" s="13">
        <f>vlookup(N362,Interview_Slots!$A$1:$D$5,4,false)</f>
        <v>70</v>
      </c>
      <c r="Q362" s="13" t="str">
        <f t="shared" si="3"/>
        <v>Eligible</v>
      </c>
      <c r="R362" s="7" t="s">
        <v>162</v>
      </c>
    </row>
    <row r="363" ht="15.75" customHeight="1">
      <c r="A363" s="8" t="s">
        <v>735</v>
      </c>
      <c r="B363" s="8" t="s">
        <v>736</v>
      </c>
      <c r="C363" s="8" t="s">
        <v>105</v>
      </c>
      <c r="D363" s="9" t="str">
        <f>vlookup(C363,Dept_Lookup!A$1:B$17,2,false)</f>
        <v>Civil</v>
      </c>
      <c r="E363" s="9">
        <v>45887.0</v>
      </c>
      <c r="F363" s="10">
        <f t="shared" si="1"/>
        <v>45887</v>
      </c>
      <c r="G363" s="8">
        <v>90.0</v>
      </c>
      <c r="H363" s="8">
        <v>81.0</v>
      </c>
      <c r="I363" s="8">
        <v>62.0</v>
      </c>
      <c r="J363" s="11">
        <f>G363*Scoring_Weights!B$2+H363*Scoring_Weights!B$3+I363*Scoring_Weights!B$4</f>
        <v>72.85</v>
      </c>
      <c r="K363" s="12">
        <v>0.8</v>
      </c>
      <c r="L363" s="8">
        <v>0.97</v>
      </c>
      <c r="M363" s="12">
        <f t="shared" si="2"/>
        <v>0.97</v>
      </c>
      <c r="N363" s="8" t="s">
        <v>563</v>
      </c>
      <c r="O363" s="13">
        <f>vlookup(N363,Interview_Slots!$A$1:$D$5,3,false)</f>
        <v>60</v>
      </c>
      <c r="P363" s="13">
        <f>vlookup(N363,Interview_Slots!$A$1:$D$5,4,false)</f>
        <v>70</v>
      </c>
      <c r="Q363" s="13" t="str">
        <f t="shared" si="3"/>
        <v>Eligible</v>
      </c>
      <c r="R363" s="7" t="s">
        <v>162</v>
      </c>
    </row>
    <row r="364" ht="15.75" customHeight="1">
      <c r="A364" s="8" t="s">
        <v>737</v>
      </c>
      <c r="B364" s="8" t="s">
        <v>738</v>
      </c>
      <c r="C364" s="8" t="s">
        <v>105</v>
      </c>
      <c r="D364" s="9" t="str">
        <f>vlookup(C364,Dept_Lookup!A$1:B$17,2,false)</f>
        <v>Civil</v>
      </c>
      <c r="E364" s="14">
        <v>45913.0</v>
      </c>
      <c r="F364" s="10">
        <f t="shared" si="1"/>
        <v>45913</v>
      </c>
      <c r="G364" s="8">
        <v>76.0</v>
      </c>
      <c r="H364" s="8">
        <v>56.0</v>
      </c>
      <c r="I364" s="8">
        <v>83.0</v>
      </c>
      <c r="J364" s="11">
        <f>G364*Scoring_Weights!B$2+H364*Scoring_Weights!B$3+I364*Scoring_Weights!B$4</f>
        <v>72.5</v>
      </c>
      <c r="K364" s="12">
        <v>0.83</v>
      </c>
      <c r="L364" s="8">
        <v>0.77</v>
      </c>
      <c r="M364" s="12">
        <f t="shared" si="2"/>
        <v>0.77</v>
      </c>
      <c r="N364" s="8" t="s">
        <v>563</v>
      </c>
      <c r="O364" s="13">
        <f>vlookup(N364,Interview_Slots!$A$1:$D$5,3,false)</f>
        <v>60</v>
      </c>
      <c r="P364" s="13">
        <f>vlookup(N364,Interview_Slots!$A$1:$D$5,4,false)</f>
        <v>70</v>
      </c>
      <c r="Q364" s="13" t="str">
        <f t="shared" si="3"/>
        <v>Eligible</v>
      </c>
      <c r="R364" s="7" t="s">
        <v>162</v>
      </c>
    </row>
    <row r="365" ht="15.75" customHeight="1">
      <c r="A365" s="8" t="s">
        <v>739</v>
      </c>
      <c r="B365" s="8" t="s">
        <v>78</v>
      </c>
      <c r="C365" s="8" t="s">
        <v>38</v>
      </c>
      <c r="D365" s="9" t="str">
        <f>vlookup(C365,Dept_Lookup!A$1:B$17,2,false)</f>
        <v>Mechanical</v>
      </c>
      <c r="E365" s="14">
        <v>45865.0</v>
      </c>
      <c r="F365" s="10">
        <f t="shared" si="1"/>
        <v>45865</v>
      </c>
      <c r="G365" s="8">
        <v>84.0</v>
      </c>
      <c r="H365" s="8">
        <v>56.0</v>
      </c>
      <c r="I365" s="8">
        <v>79.0</v>
      </c>
      <c r="J365" s="11">
        <f>G365*Scoring_Weights!B$2+H365*Scoring_Weights!B$3+I365*Scoring_Weights!B$4</f>
        <v>71.7</v>
      </c>
      <c r="K365" s="12">
        <v>0.86</v>
      </c>
      <c r="L365" s="8">
        <v>0.99</v>
      </c>
      <c r="M365" s="12">
        <f t="shared" si="2"/>
        <v>0.99</v>
      </c>
      <c r="N365" s="8" t="s">
        <v>563</v>
      </c>
      <c r="O365" s="13">
        <f>vlookup(N365,Interview_Slots!$A$1:$D$5,3,false)</f>
        <v>60</v>
      </c>
      <c r="P365" s="13">
        <f>vlookup(N365,Interview_Slots!$A$1:$D$5,4,false)</f>
        <v>70</v>
      </c>
      <c r="Q365" s="13" t="str">
        <f t="shared" si="3"/>
        <v>Eligible</v>
      </c>
      <c r="R365" s="7" t="s">
        <v>162</v>
      </c>
    </row>
    <row r="366" ht="15.75" customHeight="1">
      <c r="A366" s="8" t="s">
        <v>740</v>
      </c>
      <c r="B366" s="8" t="s">
        <v>741</v>
      </c>
      <c r="C366" s="8" t="s">
        <v>35</v>
      </c>
      <c r="D366" s="9" t="str">
        <f>vlookup(C366,Dept_Lookup!A$1:B$17,2,false)</f>
        <v>Electronics</v>
      </c>
      <c r="E366" s="14">
        <v>45882.0</v>
      </c>
      <c r="F366" s="10">
        <f t="shared" si="1"/>
        <v>45882</v>
      </c>
      <c r="G366" s="8">
        <v>75.0</v>
      </c>
      <c r="H366" s="8">
        <v>81.0</v>
      </c>
      <c r="I366" s="8">
        <v>64.0</v>
      </c>
      <c r="J366" s="11">
        <f>G366*Scoring_Weights!B$2+H366*Scoring_Weights!B$3+I366*Scoring_Weights!B$4</f>
        <v>71.6</v>
      </c>
      <c r="K366" s="12">
        <v>0.81</v>
      </c>
      <c r="L366" s="8">
        <v>0.79</v>
      </c>
      <c r="M366" s="12">
        <f t="shared" si="2"/>
        <v>0.79</v>
      </c>
      <c r="N366" s="8" t="s">
        <v>563</v>
      </c>
      <c r="O366" s="13">
        <f>vlookup(N366,Interview_Slots!$A$1:$D$5,3,false)</f>
        <v>60</v>
      </c>
      <c r="P366" s="13">
        <f>vlookup(N366,Interview_Slots!$A$1:$D$5,4,false)</f>
        <v>70</v>
      </c>
      <c r="Q366" s="13" t="str">
        <f t="shared" si="3"/>
        <v>Eligible</v>
      </c>
      <c r="R366" s="7" t="s">
        <v>162</v>
      </c>
    </row>
    <row r="367" ht="15.75" customHeight="1">
      <c r="A367" s="8" t="s">
        <v>742</v>
      </c>
      <c r="B367" s="8" t="s">
        <v>743</v>
      </c>
      <c r="C367" s="8" t="s">
        <v>35</v>
      </c>
      <c r="D367" s="9" t="str">
        <f>vlookup(C367,Dept_Lookup!A$1:B$17,2,false)</f>
        <v>Electronics</v>
      </c>
      <c r="E367" s="9">
        <v>45878.0</v>
      </c>
      <c r="F367" s="10">
        <f t="shared" si="1"/>
        <v>45878</v>
      </c>
      <c r="G367" s="8">
        <v>57.0</v>
      </c>
      <c r="H367" s="8">
        <v>58.0</v>
      </c>
      <c r="I367" s="8">
        <v>85.0</v>
      </c>
      <c r="J367" s="11">
        <f>G367*Scoring_Weights!B$2+H367*Scoring_Weights!B$3+I367*Scoring_Weights!B$4</f>
        <v>71.35</v>
      </c>
      <c r="K367" s="12">
        <v>0.81</v>
      </c>
      <c r="L367" s="8">
        <v>0.76</v>
      </c>
      <c r="M367" s="12">
        <f t="shared" si="2"/>
        <v>0.76</v>
      </c>
      <c r="N367" s="8" t="s">
        <v>563</v>
      </c>
      <c r="O367" s="13">
        <f>vlookup(N367,Interview_Slots!$A$1:$D$5,3,false)</f>
        <v>60</v>
      </c>
      <c r="P367" s="13">
        <f>vlookup(N367,Interview_Slots!$A$1:$D$5,4,false)</f>
        <v>70</v>
      </c>
      <c r="Q367" s="13" t="str">
        <f t="shared" si="3"/>
        <v>Eligible</v>
      </c>
      <c r="R367" s="7" t="s">
        <v>162</v>
      </c>
    </row>
    <row r="368" ht="15.75" customHeight="1">
      <c r="A368" s="8" t="s">
        <v>744</v>
      </c>
      <c r="B368" s="8" t="s">
        <v>745</v>
      </c>
      <c r="C368" s="8" t="s">
        <v>44</v>
      </c>
      <c r="D368" s="9" t="str">
        <f>vlookup(C368,Dept_Lookup!A$1:B$17,2,false)</f>
        <v>Computer Science</v>
      </c>
      <c r="E368" s="14">
        <v>45865.0</v>
      </c>
      <c r="F368" s="10">
        <f t="shared" si="1"/>
        <v>45865</v>
      </c>
      <c r="G368" s="8">
        <v>93.0</v>
      </c>
      <c r="H368" s="8">
        <v>57.0</v>
      </c>
      <c r="I368" s="8">
        <v>74.0</v>
      </c>
      <c r="J368" s="11">
        <f>G368*Scoring_Weights!B$2+H368*Scoring_Weights!B$3+I368*Scoring_Weights!B$4</f>
        <v>70.9</v>
      </c>
      <c r="K368" s="12">
        <v>0.78</v>
      </c>
      <c r="L368" s="8">
        <v>0.79</v>
      </c>
      <c r="M368" s="12">
        <f t="shared" si="2"/>
        <v>0.79</v>
      </c>
      <c r="N368" s="8" t="s">
        <v>563</v>
      </c>
      <c r="O368" s="13">
        <f>vlookup(N368,Interview_Slots!$A$1:$D$5,3,false)</f>
        <v>60</v>
      </c>
      <c r="P368" s="13">
        <f>vlookup(N368,Interview_Slots!$A$1:$D$5,4,false)</f>
        <v>70</v>
      </c>
      <c r="Q368" s="13" t="str">
        <f t="shared" si="3"/>
        <v>Eligible</v>
      </c>
      <c r="R368" s="7" t="s">
        <v>162</v>
      </c>
    </row>
    <row r="369" ht="15.75" customHeight="1">
      <c r="A369" s="8" t="s">
        <v>746</v>
      </c>
      <c r="B369" s="8" t="s">
        <v>747</v>
      </c>
      <c r="C369" s="8" t="s">
        <v>50</v>
      </c>
      <c r="D369" s="9" t="str">
        <f>vlookup(C369,Dept_Lookup!A$1:B$17,2,false)</f>
        <v>Electronics</v>
      </c>
      <c r="E369" s="14">
        <v>45877.0</v>
      </c>
      <c r="F369" s="10">
        <f t="shared" si="1"/>
        <v>45877</v>
      </c>
      <c r="G369" s="8">
        <v>78.0</v>
      </c>
      <c r="H369" s="8">
        <v>56.0</v>
      </c>
      <c r="I369" s="8">
        <v>79.0</v>
      </c>
      <c r="J369" s="11">
        <f>G369*Scoring_Weights!B$2+H369*Scoring_Weights!B$3+I369*Scoring_Weights!B$4</f>
        <v>70.8</v>
      </c>
      <c r="K369" s="12">
        <v>0.77</v>
      </c>
      <c r="L369" s="8">
        <v>0.76</v>
      </c>
      <c r="M369" s="12">
        <f t="shared" si="2"/>
        <v>0.76</v>
      </c>
      <c r="N369" s="8" t="s">
        <v>563</v>
      </c>
      <c r="O369" s="13">
        <f>vlookup(N369,Interview_Slots!$A$1:$D$5,3,false)</f>
        <v>60</v>
      </c>
      <c r="P369" s="13">
        <f>vlookup(N369,Interview_Slots!$A$1:$D$5,4,false)</f>
        <v>70</v>
      </c>
      <c r="Q369" s="13" t="str">
        <f t="shared" si="3"/>
        <v>Eligible</v>
      </c>
      <c r="R369" s="7" t="s">
        <v>162</v>
      </c>
    </row>
    <row r="370" ht="15.75" customHeight="1">
      <c r="A370" s="8" t="s">
        <v>748</v>
      </c>
      <c r="B370" s="8" t="s">
        <v>571</v>
      </c>
      <c r="C370" s="8" t="s">
        <v>161</v>
      </c>
      <c r="D370" s="9" t="str">
        <f>vlookup(C370,Dept_Lookup!A$1:B$17,2,false)</f>
        <v>Mechanical</v>
      </c>
      <c r="E370" s="9">
        <v>45878.0</v>
      </c>
      <c r="F370" s="10">
        <f t="shared" si="1"/>
        <v>45878</v>
      </c>
      <c r="G370" s="8">
        <v>87.0</v>
      </c>
      <c r="H370" s="8">
        <v>58.0</v>
      </c>
      <c r="I370" s="8">
        <v>74.0</v>
      </c>
      <c r="J370" s="11">
        <f>G370*Scoring_Weights!B$2+H370*Scoring_Weights!B$3+I370*Scoring_Weights!B$4</f>
        <v>70.35</v>
      </c>
      <c r="K370" s="12">
        <v>0.78</v>
      </c>
      <c r="L370" s="12">
        <v>0.97</v>
      </c>
      <c r="M370" s="12">
        <f t="shared" si="2"/>
        <v>0.97</v>
      </c>
      <c r="N370" s="8" t="s">
        <v>563</v>
      </c>
      <c r="O370" s="13">
        <f>vlookup(N370,Interview_Slots!$A$1:$D$5,3,false)</f>
        <v>60</v>
      </c>
      <c r="P370" s="13">
        <f>vlookup(N370,Interview_Slots!$A$1:$D$5,4,false)</f>
        <v>70</v>
      </c>
      <c r="Q370" s="13" t="str">
        <f t="shared" si="3"/>
        <v>Eligible</v>
      </c>
      <c r="R370" s="7" t="s">
        <v>162</v>
      </c>
    </row>
    <row r="371" ht="15.75" customHeight="1">
      <c r="A371" s="8" t="s">
        <v>749</v>
      </c>
      <c r="B371" s="8" t="s">
        <v>750</v>
      </c>
      <c r="C371" s="8" t="s">
        <v>57</v>
      </c>
      <c r="D371" s="9" t="str">
        <f>vlookup(C371,Dept_Lookup!A$1:B$17,2,false)</f>
        <v>Computer Science</v>
      </c>
      <c r="E371" s="14">
        <v>45880.0</v>
      </c>
      <c r="F371" s="10">
        <f t="shared" si="1"/>
        <v>45880</v>
      </c>
      <c r="G371" s="8">
        <v>72.0</v>
      </c>
      <c r="H371" s="8">
        <v>88.0</v>
      </c>
      <c r="I371" s="8">
        <v>57.0</v>
      </c>
      <c r="J371" s="11">
        <f>G371*Scoring_Weights!B$2+H371*Scoring_Weights!B$3+I371*Scoring_Weights!B$4</f>
        <v>70.1</v>
      </c>
      <c r="K371" s="12">
        <v>0.82</v>
      </c>
      <c r="L371" s="8">
        <v>0.95</v>
      </c>
      <c r="M371" s="12">
        <f t="shared" si="2"/>
        <v>0.95</v>
      </c>
      <c r="N371" s="8" t="s">
        <v>563</v>
      </c>
      <c r="O371" s="13">
        <f>vlookup(N371,Interview_Slots!$A$1:$D$5,3,false)</f>
        <v>60</v>
      </c>
      <c r="P371" s="13">
        <f>vlookup(N371,Interview_Slots!$A$1:$D$5,4,false)</f>
        <v>70</v>
      </c>
      <c r="Q371" s="13" t="str">
        <f t="shared" si="3"/>
        <v>Eligible</v>
      </c>
      <c r="R371" s="7" t="s">
        <v>162</v>
      </c>
    </row>
    <row r="372" ht="15.75" customHeight="1">
      <c r="A372" s="8" t="s">
        <v>751</v>
      </c>
      <c r="B372" s="8" t="s">
        <v>752</v>
      </c>
      <c r="C372" s="8" t="s">
        <v>102</v>
      </c>
      <c r="D372" s="9" t="str">
        <f>vlookup(C372,Dept_Lookup!A$1:B$17,2,false)</f>
        <v>Computer Science</v>
      </c>
      <c r="E372" s="9">
        <v>45887.0</v>
      </c>
      <c r="F372" s="10">
        <f t="shared" si="1"/>
        <v>45887</v>
      </c>
      <c r="G372" s="8">
        <v>67.0</v>
      </c>
      <c r="H372" s="8">
        <v>90.0</v>
      </c>
      <c r="I372" s="8">
        <v>57.0</v>
      </c>
      <c r="J372" s="11">
        <f>G372*Scoring_Weights!B$2+H372*Scoring_Weights!B$3+I372*Scoring_Weights!B$4</f>
        <v>70.05</v>
      </c>
      <c r="K372" s="12">
        <v>0.92</v>
      </c>
      <c r="L372" s="8">
        <v>0.89</v>
      </c>
      <c r="M372" s="12">
        <f t="shared" si="2"/>
        <v>0.89</v>
      </c>
      <c r="N372" s="8" t="s">
        <v>563</v>
      </c>
      <c r="O372" s="13">
        <f>vlookup(N372,Interview_Slots!$A$1:$D$5,3,false)</f>
        <v>60</v>
      </c>
      <c r="P372" s="13">
        <f>vlookup(N372,Interview_Slots!$A$1:$D$5,4,false)</f>
        <v>70</v>
      </c>
      <c r="Q372" s="13" t="str">
        <f t="shared" si="3"/>
        <v>Eligible</v>
      </c>
      <c r="R372" s="7" t="s">
        <v>162</v>
      </c>
    </row>
    <row r="373" ht="15.75" customHeight="1">
      <c r="A373" s="8" t="s">
        <v>753</v>
      </c>
      <c r="B373" s="8" t="s">
        <v>754</v>
      </c>
      <c r="C373" s="8" t="s">
        <v>108</v>
      </c>
      <c r="D373" s="9" t="str">
        <f>vlookup(C373,Dept_Lookup!A$1:B$17,2,false)</f>
        <v>Civil</v>
      </c>
      <c r="E373" s="9">
        <v>45878.0</v>
      </c>
      <c r="F373" s="10">
        <f t="shared" si="1"/>
        <v>45878</v>
      </c>
      <c r="G373" s="8">
        <v>96.0</v>
      </c>
      <c r="H373" s="8">
        <v>56.0</v>
      </c>
      <c r="I373" s="8">
        <v>72.0</v>
      </c>
      <c r="J373" s="11">
        <f>G373*Scoring_Weights!B$2+H373*Scoring_Weights!B$3+I373*Scoring_Weights!B$4</f>
        <v>70</v>
      </c>
      <c r="K373" s="12">
        <v>0.92</v>
      </c>
      <c r="L373" s="8">
        <v>0.81</v>
      </c>
      <c r="M373" s="12">
        <f t="shared" si="2"/>
        <v>0.81</v>
      </c>
      <c r="N373" s="8" t="s">
        <v>563</v>
      </c>
      <c r="O373" s="13">
        <f>vlookup(N373,Interview_Slots!$A$1:$D$5,3,false)</f>
        <v>60</v>
      </c>
      <c r="P373" s="13">
        <f>vlookup(N373,Interview_Slots!$A$1:$D$5,4,false)</f>
        <v>70</v>
      </c>
      <c r="Q373" s="13" t="str">
        <f t="shared" si="3"/>
        <v>Eligible</v>
      </c>
      <c r="R373" s="7" t="s">
        <v>162</v>
      </c>
    </row>
    <row r="374" ht="15.75" customHeight="1">
      <c r="A374" s="8" t="s">
        <v>755</v>
      </c>
      <c r="B374" s="8" t="s">
        <v>565</v>
      </c>
      <c r="C374" s="8" t="s">
        <v>72</v>
      </c>
      <c r="D374" s="9" t="str">
        <f>vlookup(C374,Dept_Lookup!A$1:B$17,2,false)</f>
        <v>Mechanical</v>
      </c>
      <c r="E374" s="9">
        <v>45870.0</v>
      </c>
      <c r="F374" s="10">
        <f t="shared" si="1"/>
        <v>45870</v>
      </c>
      <c r="G374" s="8">
        <v>84.0</v>
      </c>
      <c r="H374" s="8">
        <v>62.0</v>
      </c>
      <c r="I374" s="8">
        <v>71.0</v>
      </c>
      <c r="J374" s="11">
        <f>G374*Scoring_Weights!B$2+H374*Scoring_Weights!B$3+I374*Scoring_Weights!B$4</f>
        <v>69.8</v>
      </c>
      <c r="K374" s="12">
        <v>0.88</v>
      </c>
      <c r="L374" s="8">
        <v>0.92</v>
      </c>
      <c r="M374" s="12">
        <f t="shared" si="2"/>
        <v>0.92</v>
      </c>
      <c r="N374" s="8" t="s">
        <v>563</v>
      </c>
      <c r="O374" s="13">
        <f>vlookup(N374,Interview_Slots!$A$1:$D$5,3,false)</f>
        <v>60</v>
      </c>
      <c r="P374" s="13">
        <f>vlookup(N374,Interview_Slots!$A$1:$D$5,4,false)</f>
        <v>70</v>
      </c>
      <c r="Q374" s="13" t="str">
        <f t="shared" si="3"/>
        <v>Eligible</v>
      </c>
      <c r="R374" s="7" t="s">
        <v>162</v>
      </c>
    </row>
    <row r="375" ht="15.75" customHeight="1">
      <c r="A375" s="8" t="s">
        <v>756</v>
      </c>
      <c r="B375" s="8" t="s">
        <v>757</v>
      </c>
      <c r="C375" s="8" t="s">
        <v>44</v>
      </c>
      <c r="D375" s="9" t="str">
        <f>vlookup(C375,Dept_Lookup!A$1:B$17,2,false)</f>
        <v>Computer Science</v>
      </c>
      <c r="E375" s="14">
        <v>45877.0</v>
      </c>
      <c r="F375" s="10">
        <f t="shared" si="1"/>
        <v>45877</v>
      </c>
      <c r="G375" s="8">
        <v>76.0</v>
      </c>
      <c r="H375" s="8">
        <v>85.0</v>
      </c>
      <c r="I375" s="8">
        <v>57.0</v>
      </c>
      <c r="J375" s="11">
        <f>G375*Scoring_Weights!B$2+H375*Scoring_Weights!B$3+I375*Scoring_Weights!B$4</f>
        <v>69.65</v>
      </c>
      <c r="K375" s="12">
        <v>0.8</v>
      </c>
      <c r="L375" s="15">
        <v>0.73</v>
      </c>
      <c r="M375" s="12">
        <f t="shared" si="2"/>
        <v>0.73</v>
      </c>
      <c r="N375" s="8" t="s">
        <v>563</v>
      </c>
      <c r="O375" s="13">
        <f>vlookup(N375,Interview_Slots!$A$1:$D$5,3,false)</f>
        <v>60</v>
      </c>
      <c r="P375" s="13">
        <f>vlookup(N375,Interview_Slots!$A$1:$D$5,4,false)</f>
        <v>70</v>
      </c>
      <c r="Q375" s="13" t="str">
        <f t="shared" si="3"/>
        <v>Eligible</v>
      </c>
      <c r="R375" s="7" t="s">
        <v>162</v>
      </c>
    </row>
    <row r="376" ht="15.75" customHeight="1">
      <c r="A376" s="8" t="s">
        <v>758</v>
      </c>
      <c r="B376" s="8" t="s">
        <v>759</v>
      </c>
      <c r="C376" s="8" t="s">
        <v>35</v>
      </c>
      <c r="D376" s="9" t="str">
        <f>vlookup(C376,Dept_Lookup!A$1:B$17,2,false)</f>
        <v>Electronics</v>
      </c>
      <c r="E376" s="9">
        <v>45860.0</v>
      </c>
      <c r="F376" s="10">
        <f t="shared" si="1"/>
        <v>45860</v>
      </c>
      <c r="G376" s="8">
        <v>77.0</v>
      </c>
      <c r="H376" s="8">
        <v>62.0</v>
      </c>
      <c r="I376" s="8">
        <v>72.0</v>
      </c>
      <c r="J376" s="11">
        <f>G376*Scoring_Weights!B$2+H376*Scoring_Weights!B$3+I376*Scoring_Weights!B$4</f>
        <v>69.25</v>
      </c>
      <c r="K376" s="12">
        <v>0.86</v>
      </c>
      <c r="L376" s="8">
        <v>0.88</v>
      </c>
      <c r="M376" s="12">
        <f t="shared" si="2"/>
        <v>0.88</v>
      </c>
      <c r="N376" s="8" t="s">
        <v>563</v>
      </c>
      <c r="O376" s="13">
        <f>vlookup(N376,Interview_Slots!$A$1:$D$5,3,false)</f>
        <v>60</v>
      </c>
      <c r="P376" s="13">
        <f>vlookup(N376,Interview_Slots!$A$1:$D$5,4,false)</f>
        <v>70</v>
      </c>
      <c r="Q376" s="13" t="str">
        <f t="shared" si="3"/>
        <v>Eligible</v>
      </c>
      <c r="R376" s="7" t="s">
        <v>162</v>
      </c>
    </row>
    <row r="377" ht="15.75" customHeight="1">
      <c r="A377" s="8" t="s">
        <v>760</v>
      </c>
      <c r="B377" s="8" t="s">
        <v>761</v>
      </c>
      <c r="C377" s="8" t="s">
        <v>72</v>
      </c>
      <c r="D377" s="9" t="str">
        <f>vlookup(C377,Dept_Lookup!A$1:B$17,2,false)</f>
        <v>Mechanical</v>
      </c>
      <c r="E377" s="14">
        <v>45877.0</v>
      </c>
      <c r="F377" s="10">
        <f t="shared" si="1"/>
        <v>45877</v>
      </c>
      <c r="G377" s="8">
        <v>55.0</v>
      </c>
      <c r="H377" s="8">
        <v>91.0</v>
      </c>
      <c r="I377" s="8">
        <v>58.0</v>
      </c>
      <c r="J377" s="11">
        <f>G377*Scoring_Weights!B$2+H377*Scoring_Weights!B$3+I377*Scoring_Weights!B$4</f>
        <v>69.1</v>
      </c>
      <c r="K377" s="12">
        <v>0.85</v>
      </c>
      <c r="L377" s="12">
        <v>0.82</v>
      </c>
      <c r="M377" s="12">
        <f t="shared" si="2"/>
        <v>0.82</v>
      </c>
      <c r="N377" s="8" t="s">
        <v>563</v>
      </c>
      <c r="O377" s="13">
        <f>vlookup(N377,Interview_Slots!$A$1:$D$5,3,false)</f>
        <v>60</v>
      </c>
      <c r="P377" s="13">
        <f>vlookup(N377,Interview_Slots!$A$1:$D$5,4,false)</f>
        <v>70</v>
      </c>
      <c r="Q377" s="13" t="str">
        <f t="shared" si="3"/>
        <v>Eligible</v>
      </c>
      <c r="R377" s="7" t="s">
        <v>162</v>
      </c>
    </row>
    <row r="378" ht="15.75" customHeight="1">
      <c r="A378" s="8" t="s">
        <v>762</v>
      </c>
      <c r="B378" s="8" t="s">
        <v>763</v>
      </c>
      <c r="C378" s="8" t="s">
        <v>28</v>
      </c>
      <c r="D378" s="9" t="str">
        <f>vlookup(C378,Dept_Lookup!A$1:B$17,2,false)</f>
        <v>Electronics</v>
      </c>
      <c r="E378" s="9">
        <v>45870.0</v>
      </c>
      <c r="F378" s="10">
        <f t="shared" si="1"/>
        <v>45870</v>
      </c>
      <c r="G378" s="8">
        <v>56.0</v>
      </c>
      <c r="H378" s="8">
        <v>77.0</v>
      </c>
      <c r="I378" s="8">
        <v>67.0</v>
      </c>
      <c r="J378" s="11">
        <f>G378*Scoring_Weights!B$2+H378*Scoring_Weights!B$3+I378*Scoring_Weights!B$4</f>
        <v>68.85</v>
      </c>
      <c r="K378" s="12">
        <v>0.93</v>
      </c>
      <c r="L378" s="12">
        <v>0.83</v>
      </c>
      <c r="M378" s="12">
        <f t="shared" si="2"/>
        <v>0.83</v>
      </c>
      <c r="N378" s="8" t="s">
        <v>563</v>
      </c>
      <c r="O378" s="13">
        <f>vlookup(N378,Interview_Slots!$A$1:$D$5,3,false)</f>
        <v>60</v>
      </c>
      <c r="P378" s="13">
        <f>vlookup(N378,Interview_Slots!$A$1:$D$5,4,false)</f>
        <v>70</v>
      </c>
      <c r="Q378" s="13" t="str">
        <f t="shared" si="3"/>
        <v>Eligible</v>
      </c>
      <c r="R378" s="7" t="s">
        <v>162</v>
      </c>
    </row>
    <row r="379" ht="15.75" customHeight="1">
      <c r="A379" s="8" t="s">
        <v>764</v>
      </c>
      <c r="B379" s="8" t="s">
        <v>765</v>
      </c>
      <c r="C379" s="8" t="s">
        <v>35</v>
      </c>
      <c r="D379" s="9" t="str">
        <f>vlookup(C379,Dept_Lookup!A$1:B$17,2,false)</f>
        <v>Electronics</v>
      </c>
      <c r="E379" s="14">
        <v>45865.0</v>
      </c>
      <c r="F379" s="10">
        <f t="shared" si="1"/>
        <v>45865</v>
      </c>
      <c r="G379" s="8">
        <v>78.0</v>
      </c>
      <c r="H379" s="8">
        <v>56.0</v>
      </c>
      <c r="I379" s="8">
        <v>73.0</v>
      </c>
      <c r="J379" s="11">
        <f>G379*Scoring_Weights!B$2+H379*Scoring_Weights!B$3+I379*Scoring_Weights!B$4</f>
        <v>67.8</v>
      </c>
      <c r="K379" s="12">
        <v>0.92</v>
      </c>
      <c r="L379" s="8">
        <v>0.96</v>
      </c>
      <c r="M379" s="12">
        <f t="shared" si="2"/>
        <v>0.96</v>
      </c>
      <c r="N379" s="8" t="s">
        <v>563</v>
      </c>
      <c r="O379" s="13">
        <f>vlookup(N379,Interview_Slots!$A$1:$D$5,3,false)</f>
        <v>60</v>
      </c>
      <c r="P379" s="13">
        <f>vlookup(N379,Interview_Slots!$A$1:$D$5,4,false)</f>
        <v>70</v>
      </c>
      <c r="Q379" s="13" t="str">
        <f t="shared" si="3"/>
        <v>Eligible</v>
      </c>
      <c r="R379" s="7" t="s">
        <v>162</v>
      </c>
    </row>
    <row r="380" ht="15.75" customHeight="1">
      <c r="A380" s="8" t="s">
        <v>766</v>
      </c>
      <c r="B380" s="8" t="s">
        <v>767</v>
      </c>
      <c r="C380" s="8" t="s">
        <v>50</v>
      </c>
      <c r="D380" s="9" t="str">
        <f>vlookup(C380,Dept_Lookup!A$1:B$17,2,false)</f>
        <v>Electronics</v>
      </c>
      <c r="E380" s="9">
        <v>45887.0</v>
      </c>
      <c r="F380" s="10">
        <f t="shared" si="1"/>
        <v>45887</v>
      </c>
      <c r="G380" s="8">
        <v>60.0</v>
      </c>
      <c r="H380" s="8">
        <v>82.0</v>
      </c>
      <c r="I380" s="8">
        <v>60.0</v>
      </c>
      <c r="J380" s="11">
        <f>G380*Scoring_Weights!B$2+H380*Scoring_Weights!B$3+I380*Scoring_Weights!B$4</f>
        <v>67.7</v>
      </c>
      <c r="K380" s="12">
        <v>0.86</v>
      </c>
      <c r="L380" s="8">
        <v>0.86</v>
      </c>
      <c r="M380" s="12">
        <f t="shared" si="2"/>
        <v>0.86</v>
      </c>
      <c r="N380" s="8" t="s">
        <v>563</v>
      </c>
      <c r="O380" s="13">
        <f>vlookup(N380,Interview_Slots!$A$1:$D$5,3,false)</f>
        <v>60</v>
      </c>
      <c r="P380" s="13">
        <f>vlookup(N380,Interview_Slots!$A$1:$D$5,4,false)</f>
        <v>70</v>
      </c>
      <c r="Q380" s="13" t="str">
        <f t="shared" si="3"/>
        <v>Eligible</v>
      </c>
      <c r="R380" s="7" t="s">
        <v>162</v>
      </c>
    </row>
    <row r="381" ht="15.75" customHeight="1">
      <c r="A381" s="8" t="s">
        <v>768</v>
      </c>
      <c r="B381" s="8" t="s">
        <v>37</v>
      </c>
      <c r="C381" s="8" t="s">
        <v>38</v>
      </c>
      <c r="D381" s="9" t="str">
        <f>vlookup(C381,Dept_Lookup!A$1:B$17,2,false)</f>
        <v>Mechanical</v>
      </c>
      <c r="E381" s="14">
        <v>45919.0</v>
      </c>
      <c r="F381" s="10">
        <f t="shared" si="1"/>
        <v>45919</v>
      </c>
      <c r="G381" s="8">
        <v>84.0</v>
      </c>
      <c r="H381" s="8">
        <v>59.0</v>
      </c>
      <c r="I381" s="8">
        <v>68.0</v>
      </c>
      <c r="J381" s="11">
        <f>G381*Scoring_Weights!B$2+H381*Scoring_Weights!B$3+I381*Scoring_Weights!B$4</f>
        <v>67.25</v>
      </c>
      <c r="K381" s="12">
        <v>0.78</v>
      </c>
      <c r="L381" s="8">
        <v>0.95</v>
      </c>
      <c r="M381" s="12">
        <f t="shared" si="2"/>
        <v>0.95</v>
      </c>
      <c r="N381" s="8" t="s">
        <v>563</v>
      </c>
      <c r="O381" s="13">
        <f>vlookup(N381,Interview_Slots!$A$1:$D$5,3,false)</f>
        <v>60</v>
      </c>
      <c r="P381" s="13">
        <f>vlookup(N381,Interview_Slots!$A$1:$D$5,4,false)</f>
        <v>70</v>
      </c>
      <c r="Q381" s="13" t="str">
        <f t="shared" si="3"/>
        <v>Eligible</v>
      </c>
      <c r="R381" s="7" t="s">
        <v>162</v>
      </c>
    </row>
    <row r="382" ht="15.75" customHeight="1">
      <c r="A382" s="8" t="s">
        <v>769</v>
      </c>
      <c r="B382" s="8" t="s">
        <v>770</v>
      </c>
      <c r="C382" s="8" t="s">
        <v>25</v>
      </c>
      <c r="D382" s="9" t="str">
        <f>vlookup(C382,Dept_Lookup!A$1:B$17,2,false)</f>
        <v>Computer Science</v>
      </c>
      <c r="E382" s="14">
        <v>45854.0</v>
      </c>
      <c r="F382" s="10">
        <f t="shared" si="1"/>
        <v>45854</v>
      </c>
      <c r="G382" s="8">
        <v>62.0</v>
      </c>
      <c r="H382" s="8">
        <v>78.0</v>
      </c>
      <c r="I382" s="8">
        <v>61.0</v>
      </c>
      <c r="J382" s="11">
        <f>G382*Scoring_Weights!B$2+H382*Scoring_Weights!B$3+I382*Scoring_Weights!B$4</f>
        <v>67.1</v>
      </c>
      <c r="K382" s="12">
        <v>0.84</v>
      </c>
      <c r="L382" s="8">
        <v>0.99</v>
      </c>
      <c r="M382" s="12">
        <f t="shared" si="2"/>
        <v>0.99</v>
      </c>
      <c r="N382" s="8" t="s">
        <v>563</v>
      </c>
      <c r="O382" s="13">
        <f>vlookup(N382,Interview_Slots!$A$1:$D$5,3,false)</f>
        <v>60</v>
      </c>
      <c r="P382" s="13">
        <f>vlookup(N382,Interview_Slots!$A$1:$D$5,4,false)</f>
        <v>70</v>
      </c>
      <c r="Q382" s="13" t="str">
        <f t="shared" si="3"/>
        <v>Eligible</v>
      </c>
      <c r="R382" s="7" t="s">
        <v>162</v>
      </c>
    </row>
    <row r="383" ht="15.75" customHeight="1">
      <c r="A383" s="8" t="s">
        <v>771</v>
      </c>
      <c r="B383" s="8" t="s">
        <v>772</v>
      </c>
      <c r="C383" s="8" t="s">
        <v>47</v>
      </c>
      <c r="D383" s="9" t="str">
        <f>vlookup(C383,Dept_Lookup!A$1:B$17,2,false)</f>
        <v>Civil</v>
      </c>
      <c r="E383" s="9">
        <v>45872.0</v>
      </c>
      <c r="F383" s="10">
        <f t="shared" si="1"/>
        <v>45872</v>
      </c>
      <c r="G383" s="8">
        <v>60.0</v>
      </c>
      <c r="H383" s="8">
        <v>87.0</v>
      </c>
      <c r="I383" s="8">
        <v>55.0</v>
      </c>
      <c r="J383" s="11">
        <f>G383*Scoring_Weights!B$2+H383*Scoring_Weights!B$3+I383*Scoring_Weights!B$4</f>
        <v>66.95</v>
      </c>
      <c r="K383" s="12">
        <v>0.82</v>
      </c>
      <c r="L383" s="12">
        <v>0.89</v>
      </c>
      <c r="M383" s="12">
        <f t="shared" si="2"/>
        <v>0.89</v>
      </c>
      <c r="N383" s="8" t="s">
        <v>563</v>
      </c>
      <c r="O383" s="13">
        <f>vlookup(N383,Interview_Slots!$A$1:$D$5,3,false)</f>
        <v>60</v>
      </c>
      <c r="P383" s="13">
        <f>vlookup(N383,Interview_Slots!$A$1:$D$5,4,false)</f>
        <v>70</v>
      </c>
      <c r="Q383" s="13" t="str">
        <f t="shared" si="3"/>
        <v>Eligible</v>
      </c>
      <c r="R383" s="7" t="s">
        <v>162</v>
      </c>
    </row>
    <row r="384" ht="15.75" customHeight="1">
      <c r="A384" s="8" t="s">
        <v>773</v>
      </c>
      <c r="B384" s="8" t="s">
        <v>774</v>
      </c>
      <c r="C384" s="8" t="s">
        <v>25</v>
      </c>
      <c r="D384" s="9" t="str">
        <f>vlookup(C384,Dept_Lookup!A$1:B$17,2,false)</f>
        <v>Computer Science</v>
      </c>
      <c r="E384" s="9">
        <v>45887.0</v>
      </c>
      <c r="F384" s="10">
        <f t="shared" si="1"/>
        <v>45887</v>
      </c>
      <c r="G384" s="8">
        <v>93.0</v>
      </c>
      <c r="H384" s="8">
        <v>65.0</v>
      </c>
      <c r="I384" s="8">
        <v>60.0</v>
      </c>
      <c r="J384" s="11">
        <f>G384*Scoring_Weights!B$2+H384*Scoring_Weights!B$3+I384*Scoring_Weights!B$4</f>
        <v>66.7</v>
      </c>
      <c r="K384" s="12">
        <v>0.94</v>
      </c>
      <c r="L384" s="12">
        <v>0.97</v>
      </c>
      <c r="M384" s="12">
        <f t="shared" si="2"/>
        <v>0.97</v>
      </c>
      <c r="N384" s="8" t="s">
        <v>563</v>
      </c>
      <c r="O384" s="13">
        <f>vlookup(N384,Interview_Slots!$A$1:$D$5,3,false)</f>
        <v>60</v>
      </c>
      <c r="P384" s="13">
        <f>vlookup(N384,Interview_Slots!$A$1:$D$5,4,false)</f>
        <v>70</v>
      </c>
      <c r="Q384" s="13" t="str">
        <f t="shared" si="3"/>
        <v>Eligible</v>
      </c>
      <c r="R384" s="7" t="s">
        <v>162</v>
      </c>
    </row>
    <row r="385" ht="15.75" customHeight="1">
      <c r="A385" s="8" t="s">
        <v>775</v>
      </c>
      <c r="B385" s="8" t="s">
        <v>776</v>
      </c>
      <c r="C385" s="8" t="s">
        <v>57</v>
      </c>
      <c r="D385" s="9" t="str">
        <f>vlookup(C385,Dept_Lookup!A$1:B$17,2,false)</f>
        <v>Computer Science</v>
      </c>
      <c r="E385" s="14">
        <v>45870.0</v>
      </c>
      <c r="F385" s="10">
        <f t="shared" si="1"/>
        <v>45870</v>
      </c>
      <c r="G385" s="8">
        <v>84.0</v>
      </c>
      <c r="H385" s="8">
        <v>55.0</v>
      </c>
      <c r="I385" s="8">
        <v>67.0</v>
      </c>
      <c r="J385" s="11">
        <f>G385*Scoring_Weights!B$2+H385*Scoring_Weights!B$3+I385*Scoring_Weights!B$4</f>
        <v>65.35</v>
      </c>
      <c r="K385" s="12">
        <v>0.89</v>
      </c>
      <c r="L385" s="8">
        <v>0.96</v>
      </c>
      <c r="M385" s="12">
        <f t="shared" si="2"/>
        <v>0.96</v>
      </c>
      <c r="N385" s="8" t="s">
        <v>563</v>
      </c>
      <c r="O385" s="13">
        <f>vlookup(N385,Interview_Slots!$A$1:$D$5,3,false)</f>
        <v>60</v>
      </c>
      <c r="P385" s="13">
        <f>vlookup(N385,Interview_Slots!$A$1:$D$5,4,false)</f>
        <v>70</v>
      </c>
      <c r="Q385" s="13" t="str">
        <f t="shared" si="3"/>
        <v>Eligible</v>
      </c>
      <c r="R385" s="7" t="s">
        <v>162</v>
      </c>
    </row>
    <row r="386" ht="15.75" customHeight="1">
      <c r="A386" s="8" t="s">
        <v>777</v>
      </c>
      <c r="B386" s="8" t="s">
        <v>778</v>
      </c>
      <c r="C386" s="8" t="s">
        <v>44</v>
      </c>
      <c r="D386" s="9" t="str">
        <f>vlookup(C386,Dept_Lookup!A$1:B$17,2,false)</f>
        <v>Computer Science</v>
      </c>
      <c r="E386" s="14">
        <v>45900.0</v>
      </c>
      <c r="F386" s="10">
        <f t="shared" si="1"/>
        <v>45900</v>
      </c>
      <c r="G386" s="8">
        <v>65.0</v>
      </c>
      <c r="H386" s="8">
        <v>74.0</v>
      </c>
      <c r="I386" s="8">
        <v>59.0</v>
      </c>
      <c r="J386" s="11">
        <f>G386*Scoring_Weights!B$2+H386*Scoring_Weights!B$3+I386*Scoring_Weights!B$4</f>
        <v>65.15</v>
      </c>
      <c r="K386" s="12">
        <v>0.8</v>
      </c>
      <c r="L386" s="8">
        <v>0.81</v>
      </c>
      <c r="M386" s="12">
        <f t="shared" si="2"/>
        <v>0.81</v>
      </c>
      <c r="N386" s="8" t="s">
        <v>563</v>
      </c>
      <c r="O386" s="13">
        <f>vlookup(N386,Interview_Slots!$A$1:$D$5,3,false)</f>
        <v>60</v>
      </c>
      <c r="P386" s="13">
        <f>vlookup(N386,Interview_Slots!$A$1:$D$5,4,false)</f>
        <v>70</v>
      </c>
      <c r="Q386" s="13" t="str">
        <f t="shared" si="3"/>
        <v>Eligible</v>
      </c>
      <c r="R386" s="7" t="s">
        <v>162</v>
      </c>
    </row>
    <row r="387" ht="15.75" customHeight="1">
      <c r="A387" s="8" t="s">
        <v>779</v>
      </c>
      <c r="B387" s="8" t="s">
        <v>780</v>
      </c>
      <c r="C387" s="8" t="s">
        <v>38</v>
      </c>
      <c r="D387" s="9" t="str">
        <f>vlookup(C387,Dept_Lookup!A$1:B$17,2,false)</f>
        <v>Mechanical</v>
      </c>
      <c r="E387" s="9">
        <v>45887.0</v>
      </c>
      <c r="F387" s="10">
        <f t="shared" si="1"/>
        <v>45887</v>
      </c>
      <c r="G387" s="8">
        <v>82.0</v>
      </c>
      <c r="H387" s="8">
        <v>55.0</v>
      </c>
      <c r="I387" s="8">
        <v>66.0</v>
      </c>
      <c r="J387" s="11">
        <f>G387*Scoring_Weights!B$2+H387*Scoring_Weights!B$3+I387*Scoring_Weights!B$4</f>
        <v>64.55</v>
      </c>
      <c r="K387" s="12">
        <v>0.8</v>
      </c>
      <c r="L387" s="8">
        <v>0.91</v>
      </c>
      <c r="M387" s="12">
        <f t="shared" si="2"/>
        <v>0.91</v>
      </c>
      <c r="N387" s="8" t="s">
        <v>563</v>
      </c>
      <c r="O387" s="13">
        <f>vlookup(N387,Interview_Slots!$A$1:$D$5,3,false)</f>
        <v>60</v>
      </c>
      <c r="P387" s="13">
        <f>vlookup(N387,Interview_Slots!$A$1:$D$5,4,false)</f>
        <v>70</v>
      </c>
      <c r="Q387" s="13" t="str">
        <f t="shared" si="3"/>
        <v>Eligible</v>
      </c>
      <c r="R387" s="7" t="s">
        <v>162</v>
      </c>
    </row>
    <row r="388" ht="15.75" customHeight="1">
      <c r="A388" s="8" t="s">
        <v>781</v>
      </c>
      <c r="B388" s="8" t="s">
        <v>782</v>
      </c>
      <c r="C388" s="8" t="s">
        <v>44</v>
      </c>
      <c r="D388" s="9" t="str">
        <f>vlookup(C388,Dept_Lookup!A$1:B$17,2,false)</f>
        <v>Computer Science</v>
      </c>
      <c r="E388" s="9">
        <v>45893.0</v>
      </c>
      <c r="F388" s="10">
        <f>iferror(datevalue(E388),date(right(E388,2)+2000,mid(E388,4,2),left(E388,2)))</f>
        <v>45893</v>
      </c>
      <c r="G388" s="8">
        <v>75.0</v>
      </c>
      <c r="H388" s="8">
        <v>59.0</v>
      </c>
      <c r="I388" s="8">
        <v>65.0</v>
      </c>
      <c r="J388" s="11">
        <f>G388*Scoring_Weights!B$2+H388*Scoring_Weights!B$3+I388*Scoring_Weights!B$4</f>
        <v>64.4</v>
      </c>
      <c r="K388" s="12">
        <v>0.77</v>
      </c>
      <c r="L388" s="12">
        <v>0.9</v>
      </c>
      <c r="M388" s="12">
        <f t="shared" si="2"/>
        <v>0.9</v>
      </c>
      <c r="N388" s="8" t="s">
        <v>563</v>
      </c>
      <c r="O388" s="13">
        <f>vlookup(N388,Interview_Slots!$A$1:$D$5,3,false)</f>
        <v>60</v>
      </c>
      <c r="P388" s="13">
        <f>vlookup(N388,Interview_Slots!$A$1:$D$5,4,false)</f>
        <v>70</v>
      </c>
      <c r="Q388" s="13" t="str">
        <f t="shared" si="3"/>
        <v>Eligible</v>
      </c>
      <c r="R388" s="7" t="s">
        <v>162</v>
      </c>
    </row>
    <row r="389" ht="15.75" customHeight="1">
      <c r="A389" s="8" t="s">
        <v>783</v>
      </c>
      <c r="B389" s="8" t="s">
        <v>784</v>
      </c>
      <c r="C389" s="8" t="s">
        <v>25</v>
      </c>
      <c r="D389" s="9" t="str">
        <f>vlookup(C389,Dept_Lookup!A$1:B$17,2,false)</f>
        <v>Computer Science</v>
      </c>
      <c r="E389" s="14">
        <v>45877.0</v>
      </c>
      <c r="F389" s="10">
        <f t="shared" ref="F389:F511" si="4">IFERROR(DATEVALUE(E389),DATE(RIGHT(E389,2)+2000,MID(E389,4,2),LEFT(E389,2)))</f>
        <v>45877</v>
      </c>
      <c r="G389" s="8">
        <v>66.0</v>
      </c>
      <c r="H389" s="8">
        <v>71.0</v>
      </c>
      <c r="I389" s="8">
        <v>56.0</v>
      </c>
      <c r="J389" s="11">
        <f>G389*Scoring_Weights!B$2+H389*Scoring_Weights!B$3+I389*Scoring_Weights!B$4</f>
        <v>62.75</v>
      </c>
      <c r="K389" s="12">
        <v>0.83</v>
      </c>
      <c r="L389" s="8">
        <v>0.82</v>
      </c>
      <c r="M389" s="12">
        <f t="shared" si="2"/>
        <v>0.82</v>
      </c>
      <c r="N389" s="8" t="s">
        <v>563</v>
      </c>
      <c r="O389" s="13">
        <f>vlookup(N389,Interview_Slots!$A$1:$D$5,3,false)</f>
        <v>60</v>
      </c>
      <c r="P389" s="13">
        <f>vlookup(N389,Interview_Slots!$A$1:$D$5,4,false)</f>
        <v>70</v>
      </c>
      <c r="Q389" s="13" t="str">
        <f t="shared" si="3"/>
        <v>Eligible</v>
      </c>
      <c r="R389" s="7" t="s">
        <v>162</v>
      </c>
    </row>
    <row r="390" ht="15.75" customHeight="1">
      <c r="A390" s="8" t="s">
        <v>785</v>
      </c>
      <c r="B390" s="8" t="s">
        <v>786</v>
      </c>
      <c r="C390" s="8" t="s">
        <v>38</v>
      </c>
      <c r="D390" s="9" t="str">
        <f>vlookup(C390,Dept_Lookup!A$1:B$17,2,false)</f>
        <v>Mechanical</v>
      </c>
      <c r="E390" s="14">
        <v>45900.0</v>
      </c>
      <c r="F390" s="10">
        <f t="shared" si="4"/>
        <v>45900</v>
      </c>
      <c r="G390" s="8">
        <v>63.0</v>
      </c>
      <c r="H390" s="8">
        <v>71.0</v>
      </c>
      <c r="I390" s="8">
        <v>56.0</v>
      </c>
      <c r="J390" s="11">
        <f>G390*Scoring_Weights!B$2+H390*Scoring_Weights!B$3+I390*Scoring_Weights!B$4</f>
        <v>62.3</v>
      </c>
      <c r="K390" s="12">
        <v>0.88</v>
      </c>
      <c r="L390" s="15">
        <v>0.73</v>
      </c>
      <c r="M390" s="12">
        <f t="shared" si="2"/>
        <v>0.73</v>
      </c>
      <c r="N390" s="8" t="s">
        <v>563</v>
      </c>
      <c r="O390" s="13">
        <f>vlookup(N390,Interview_Slots!$A$1:$D$5,3,false)</f>
        <v>60</v>
      </c>
      <c r="P390" s="13">
        <f>vlookup(N390,Interview_Slots!$A$1:$D$5,4,false)</f>
        <v>70</v>
      </c>
      <c r="Q390" s="13" t="str">
        <f t="shared" si="3"/>
        <v>Eligible</v>
      </c>
      <c r="R390" s="7" t="s">
        <v>162</v>
      </c>
    </row>
    <row r="391" ht="15.75" customHeight="1">
      <c r="A391" s="8" t="s">
        <v>787</v>
      </c>
      <c r="B391" s="8" t="s">
        <v>788</v>
      </c>
      <c r="C391" s="8" t="s">
        <v>108</v>
      </c>
      <c r="D391" s="9" t="str">
        <f>vlookup(C391,Dept_Lookup!A$1:B$17,2,false)</f>
        <v>Civil</v>
      </c>
      <c r="E391" s="14">
        <v>45929.0</v>
      </c>
      <c r="F391" s="10">
        <f t="shared" si="4"/>
        <v>45929</v>
      </c>
      <c r="G391" s="8">
        <v>60.0</v>
      </c>
      <c r="H391" s="8">
        <v>72.0</v>
      </c>
      <c r="I391" s="8">
        <v>56.0</v>
      </c>
      <c r="J391" s="11">
        <f>G391*Scoring_Weights!B$2+H391*Scoring_Weights!B$3+I391*Scoring_Weights!B$4</f>
        <v>62.2</v>
      </c>
      <c r="K391" s="12">
        <v>0.9</v>
      </c>
      <c r="L391" s="8">
        <v>0.78</v>
      </c>
      <c r="M391" s="12">
        <f t="shared" si="2"/>
        <v>0.78</v>
      </c>
      <c r="N391" s="8" t="s">
        <v>563</v>
      </c>
      <c r="O391" s="13">
        <f>vlookup(N391,Interview_Slots!$A$1:$D$5,3,false)</f>
        <v>60</v>
      </c>
      <c r="P391" s="13">
        <f>vlookup(N391,Interview_Slots!$A$1:$D$5,4,false)</f>
        <v>70</v>
      </c>
      <c r="Q391" s="13" t="str">
        <f t="shared" si="3"/>
        <v>Eligible</v>
      </c>
      <c r="R391" s="7" t="s">
        <v>162</v>
      </c>
    </row>
    <row r="392" ht="15.75" customHeight="1">
      <c r="A392" s="8" t="s">
        <v>789</v>
      </c>
      <c r="B392" s="8" t="s">
        <v>790</v>
      </c>
      <c r="C392" s="8" t="s">
        <v>20</v>
      </c>
      <c r="D392" s="9" t="str">
        <f>vlookup(C392,Dept_Lookup!A$1:B$17,2,false)</f>
        <v>Electronics</v>
      </c>
      <c r="E392" s="14">
        <v>45865.0</v>
      </c>
      <c r="F392" s="10">
        <f t="shared" si="4"/>
        <v>45865</v>
      </c>
      <c r="G392" s="8">
        <v>60.0</v>
      </c>
      <c r="H392" s="8">
        <v>63.0</v>
      </c>
      <c r="I392" s="8">
        <v>62.0</v>
      </c>
      <c r="J392" s="11">
        <f>G392*Scoring_Weights!B$2+H392*Scoring_Weights!B$3+I392*Scoring_Weights!B$4</f>
        <v>62.05</v>
      </c>
      <c r="K392" s="12">
        <v>0.75</v>
      </c>
      <c r="L392" s="8">
        <v>0.78</v>
      </c>
      <c r="M392" s="12">
        <f t="shared" si="2"/>
        <v>0.78</v>
      </c>
      <c r="N392" s="8" t="s">
        <v>563</v>
      </c>
      <c r="O392" s="13">
        <f>vlookup(N392,Interview_Slots!$A$1:$D$5,3,false)</f>
        <v>60</v>
      </c>
      <c r="P392" s="13">
        <f>vlookup(N392,Interview_Slots!$A$1:$D$5,4,false)</f>
        <v>70</v>
      </c>
      <c r="Q392" s="13" t="str">
        <f t="shared" si="3"/>
        <v>Eligible</v>
      </c>
      <c r="R392" s="7" t="s">
        <v>162</v>
      </c>
    </row>
    <row r="393" ht="15.75" customHeight="1">
      <c r="A393" s="8" t="s">
        <v>791</v>
      </c>
      <c r="B393" s="8" t="s">
        <v>40</v>
      </c>
      <c r="C393" s="8" t="s">
        <v>41</v>
      </c>
      <c r="D393" s="9" t="str">
        <f>vlookup(C393,Dept_Lookup!A$1:B$17,2,false)</f>
        <v>Mechanical</v>
      </c>
      <c r="E393" s="8" t="s">
        <v>92</v>
      </c>
      <c r="F393" s="10">
        <f t="shared" si="4"/>
        <v>45898</v>
      </c>
      <c r="G393" s="8">
        <v>87.0</v>
      </c>
      <c r="H393" s="8">
        <v>60.0</v>
      </c>
      <c r="I393" s="8">
        <v>55.0</v>
      </c>
      <c r="J393" s="11">
        <f>G393*Scoring_Weights!B$2+H393*Scoring_Weights!B$3+I393*Scoring_Weights!B$4</f>
        <v>61.55</v>
      </c>
      <c r="K393" s="12">
        <v>0.76</v>
      </c>
      <c r="L393" s="8">
        <v>0.94</v>
      </c>
      <c r="M393" s="12">
        <f t="shared" si="2"/>
        <v>0.94</v>
      </c>
      <c r="N393" s="8" t="s">
        <v>563</v>
      </c>
      <c r="O393" s="13">
        <f>vlookup(N393,Interview_Slots!$A$1:$D$5,3,false)</f>
        <v>60</v>
      </c>
      <c r="P393" s="13">
        <f>vlookup(N393,Interview_Slots!$A$1:$D$5,4,false)</f>
        <v>70</v>
      </c>
      <c r="Q393" s="13" t="str">
        <f t="shared" si="3"/>
        <v>Eligible</v>
      </c>
      <c r="R393" s="7" t="s">
        <v>162</v>
      </c>
    </row>
    <row r="394" ht="15.75" hidden="1" customHeight="1">
      <c r="A394" s="8" t="s">
        <v>792</v>
      </c>
      <c r="B394" s="8" t="s">
        <v>793</v>
      </c>
      <c r="C394" s="8" t="s">
        <v>72</v>
      </c>
      <c r="D394" s="9" t="str">
        <f>vlookup(C394,Dept_Lookup!A$1:B$17,2,false)</f>
        <v>Mechanical</v>
      </c>
      <c r="E394" s="14">
        <v>45865.0</v>
      </c>
      <c r="F394" s="10">
        <f t="shared" si="4"/>
        <v>45865</v>
      </c>
      <c r="G394" s="8">
        <v>84.0</v>
      </c>
      <c r="H394" s="8">
        <v>93.0</v>
      </c>
      <c r="I394" s="8">
        <v>96.0</v>
      </c>
      <c r="J394" s="11">
        <f>G394*Scoring_Weights!B$2+H394*Scoring_Weights!B$3+I394*Scoring_Weights!B$4</f>
        <v>93.15</v>
      </c>
      <c r="K394" s="12">
        <v>0.75</v>
      </c>
      <c r="L394" s="8">
        <v>0.95</v>
      </c>
      <c r="M394" s="12">
        <f t="shared" si="2"/>
        <v>0.95</v>
      </c>
      <c r="N394" s="8" t="s">
        <v>794</v>
      </c>
      <c r="O394" s="13">
        <f>vlookup(N394,Interview_Slots!$A$1:$D$5,3,false)</f>
        <v>75</v>
      </c>
      <c r="P394" s="13">
        <f>vlookup(N394,Interview_Slots!$A$1:$D$5,4,false)</f>
        <v>85</v>
      </c>
      <c r="Q394" s="13" t="str">
        <f t="shared" si="3"/>
        <v>Not Eligible</v>
      </c>
    </row>
    <row r="395" ht="15.75" customHeight="1">
      <c r="A395" s="8" t="s">
        <v>795</v>
      </c>
      <c r="B395" s="8" t="s">
        <v>796</v>
      </c>
      <c r="C395" s="8" t="s">
        <v>105</v>
      </c>
      <c r="D395" s="9" t="str">
        <f>vlookup(C395,Dept_Lookup!A$1:B$17,2,false)</f>
        <v>Civil</v>
      </c>
      <c r="E395" s="9">
        <v>45869.0</v>
      </c>
      <c r="F395" s="10">
        <f t="shared" si="4"/>
        <v>45869</v>
      </c>
      <c r="G395" s="8">
        <v>83.0</v>
      </c>
      <c r="H395" s="8">
        <v>96.0</v>
      </c>
      <c r="I395" s="8">
        <v>93.0</v>
      </c>
      <c r="J395" s="11">
        <f>G395*Scoring_Weights!B$2+H395*Scoring_Weights!B$3+I395*Scoring_Weights!B$4</f>
        <v>92.55</v>
      </c>
      <c r="K395" s="12">
        <v>0.87</v>
      </c>
      <c r="L395" s="8">
        <v>0.98</v>
      </c>
      <c r="M395" s="12">
        <f t="shared" si="2"/>
        <v>0.98</v>
      </c>
      <c r="N395" s="8" t="s">
        <v>794</v>
      </c>
      <c r="O395" s="13">
        <f>vlookup(N395,Interview_Slots!$A$1:$D$5,3,false)</f>
        <v>75</v>
      </c>
      <c r="P395" s="13">
        <f>vlookup(N395,Interview_Slots!$A$1:$D$5,4,false)</f>
        <v>85</v>
      </c>
      <c r="Q395" s="13" t="str">
        <f t="shared" si="3"/>
        <v>Eligible</v>
      </c>
      <c r="R395" s="7" t="s">
        <v>22</v>
      </c>
    </row>
    <row r="396" ht="15.75" customHeight="1">
      <c r="A396" s="8" t="s">
        <v>797</v>
      </c>
      <c r="B396" s="8" t="s">
        <v>776</v>
      </c>
      <c r="C396" s="8" t="s">
        <v>57</v>
      </c>
      <c r="D396" s="9" t="str">
        <f>vlookup(C396,Dept_Lookup!A$1:B$17,2,false)</f>
        <v>Computer Science</v>
      </c>
      <c r="E396" s="14">
        <v>45871.0</v>
      </c>
      <c r="F396" s="10">
        <f t="shared" si="4"/>
        <v>45871</v>
      </c>
      <c r="G396" s="8">
        <v>90.0</v>
      </c>
      <c r="H396" s="8">
        <v>83.0</v>
      </c>
      <c r="I396" s="8">
        <v>100.0</v>
      </c>
      <c r="J396" s="11">
        <f>G396*Scoring_Weights!B$2+H396*Scoring_Weights!B$3+I396*Scoring_Weights!B$4</f>
        <v>92.55</v>
      </c>
      <c r="K396" s="12">
        <v>0.87</v>
      </c>
      <c r="L396" s="12">
        <v>0.82</v>
      </c>
      <c r="M396" s="12">
        <f t="shared" si="2"/>
        <v>0.82</v>
      </c>
      <c r="N396" s="8" t="s">
        <v>794</v>
      </c>
      <c r="O396" s="13">
        <f>vlookup(N396,Interview_Slots!$A$1:$D$5,3,false)</f>
        <v>75</v>
      </c>
      <c r="P396" s="13">
        <f>vlookup(N396,Interview_Slots!$A$1:$D$5,4,false)</f>
        <v>85</v>
      </c>
      <c r="Q396" s="13" t="str">
        <f t="shared" si="3"/>
        <v>Eligible</v>
      </c>
      <c r="R396" s="7" t="s">
        <v>22</v>
      </c>
    </row>
    <row r="397" ht="15.75" customHeight="1">
      <c r="A397" s="8" t="s">
        <v>798</v>
      </c>
      <c r="B397" s="8" t="s">
        <v>96</v>
      </c>
      <c r="C397" s="8" t="s">
        <v>20</v>
      </c>
      <c r="D397" s="9" t="str">
        <f>vlookup(C397,Dept_Lookup!A$1:B$17,2,false)</f>
        <v>Electronics</v>
      </c>
      <c r="E397" s="14">
        <v>45904.0</v>
      </c>
      <c r="F397" s="10">
        <f t="shared" si="4"/>
        <v>45904</v>
      </c>
      <c r="G397" s="8">
        <v>87.0</v>
      </c>
      <c r="H397" s="8">
        <v>94.0</v>
      </c>
      <c r="I397" s="8">
        <v>92.0</v>
      </c>
      <c r="J397" s="11">
        <f>G397*Scoring_Weights!B$2+H397*Scoring_Weights!B$3+I397*Scoring_Weights!B$4</f>
        <v>91.95</v>
      </c>
      <c r="K397" s="12">
        <v>0.91</v>
      </c>
      <c r="L397" s="8">
        <v>0.83</v>
      </c>
      <c r="M397" s="12">
        <f t="shared" si="2"/>
        <v>0.83</v>
      </c>
      <c r="N397" s="8" t="s">
        <v>794</v>
      </c>
      <c r="O397" s="13">
        <f>vlookup(N397,Interview_Slots!$A$1:$D$5,3,false)</f>
        <v>75</v>
      </c>
      <c r="P397" s="13">
        <f>vlookup(N397,Interview_Slots!$A$1:$D$5,4,false)</f>
        <v>85</v>
      </c>
      <c r="Q397" s="13" t="str">
        <f t="shared" si="3"/>
        <v>Eligible</v>
      </c>
      <c r="R397" s="7" t="s">
        <v>22</v>
      </c>
    </row>
    <row r="398" ht="15.75" customHeight="1">
      <c r="A398" s="8" t="s">
        <v>799</v>
      </c>
      <c r="B398" s="8" t="s">
        <v>140</v>
      </c>
      <c r="C398" s="8" t="s">
        <v>105</v>
      </c>
      <c r="D398" s="9" t="str">
        <f>vlookup(C398,Dept_Lookup!A$1:B$17,2,false)</f>
        <v>Civil</v>
      </c>
      <c r="E398" s="14">
        <v>45845.0</v>
      </c>
      <c r="F398" s="10">
        <f t="shared" si="4"/>
        <v>45845</v>
      </c>
      <c r="G398" s="8">
        <v>78.0</v>
      </c>
      <c r="H398" s="8">
        <v>99.0</v>
      </c>
      <c r="I398" s="8">
        <v>90.0</v>
      </c>
      <c r="J398" s="11">
        <f>G398*Scoring_Weights!B$2+H398*Scoring_Weights!B$3+I398*Scoring_Weights!B$4</f>
        <v>91.35</v>
      </c>
      <c r="K398" s="12">
        <v>0.95</v>
      </c>
      <c r="L398" s="8">
        <v>0.76</v>
      </c>
      <c r="M398" s="12">
        <f t="shared" si="2"/>
        <v>0.76</v>
      </c>
      <c r="N398" s="8" t="s">
        <v>794</v>
      </c>
      <c r="O398" s="13">
        <f>vlookup(N398,Interview_Slots!$A$1:$D$5,3,false)</f>
        <v>75</v>
      </c>
      <c r="P398" s="13">
        <f>vlookup(N398,Interview_Slots!$A$1:$D$5,4,false)</f>
        <v>85</v>
      </c>
      <c r="Q398" s="13" t="str">
        <f t="shared" si="3"/>
        <v>Eligible</v>
      </c>
      <c r="R398" s="7" t="s">
        <v>22</v>
      </c>
    </row>
    <row r="399" ht="15.75" hidden="1" customHeight="1">
      <c r="A399" s="8" t="s">
        <v>800</v>
      </c>
      <c r="B399" s="8" t="s">
        <v>801</v>
      </c>
      <c r="C399" s="8" t="s">
        <v>47</v>
      </c>
      <c r="D399" s="9" t="str">
        <f>vlookup(C399,Dept_Lookup!A$1:B$17,2,false)</f>
        <v>Civil</v>
      </c>
      <c r="E399" s="14">
        <v>45865.0</v>
      </c>
      <c r="F399" s="10">
        <f t="shared" si="4"/>
        <v>45865</v>
      </c>
      <c r="G399" s="8">
        <v>80.0</v>
      </c>
      <c r="H399" s="8">
        <v>90.0</v>
      </c>
      <c r="I399" s="8">
        <v>94.0</v>
      </c>
      <c r="J399" s="11">
        <f>G399*Scoring_Weights!B$2+H399*Scoring_Weights!B$3+I399*Scoring_Weights!B$4</f>
        <v>90.5</v>
      </c>
      <c r="K399" s="12">
        <v>0.84</v>
      </c>
      <c r="L399" s="8">
        <v>0.94</v>
      </c>
      <c r="M399" s="12">
        <f t="shared" si="2"/>
        <v>0.94</v>
      </c>
      <c r="N399" s="8" t="s">
        <v>794</v>
      </c>
      <c r="O399" s="13">
        <f>vlookup(N399,Interview_Slots!$A$1:$D$5,3,false)</f>
        <v>75</v>
      </c>
      <c r="P399" s="13">
        <f>vlookup(N399,Interview_Slots!$A$1:$D$5,4,false)</f>
        <v>85</v>
      </c>
      <c r="Q399" s="13" t="str">
        <f t="shared" si="3"/>
        <v>Not Eligible</v>
      </c>
    </row>
    <row r="400" ht="15.75" hidden="1" customHeight="1">
      <c r="A400" s="8" t="s">
        <v>802</v>
      </c>
      <c r="B400" s="8" t="s">
        <v>803</v>
      </c>
      <c r="C400" s="8" t="s">
        <v>102</v>
      </c>
      <c r="D400" s="9" t="str">
        <f>vlookup(C400,Dept_Lookup!A$1:B$17,2,false)</f>
        <v>Computer Science</v>
      </c>
      <c r="E400" s="14">
        <v>45877.0</v>
      </c>
      <c r="F400" s="10">
        <f t="shared" si="4"/>
        <v>45877</v>
      </c>
      <c r="G400" s="8">
        <v>90.0</v>
      </c>
      <c r="H400" s="8">
        <v>80.0</v>
      </c>
      <c r="I400" s="8">
        <v>97.0</v>
      </c>
      <c r="J400" s="11">
        <f>G400*Scoring_Weights!B$2+H400*Scoring_Weights!B$3+I400*Scoring_Weights!B$4</f>
        <v>90</v>
      </c>
      <c r="K400" s="12">
        <v>0.78</v>
      </c>
      <c r="L400" s="8">
        <v>0.77</v>
      </c>
      <c r="M400" s="12">
        <f t="shared" si="2"/>
        <v>0.77</v>
      </c>
      <c r="N400" s="8" t="s">
        <v>794</v>
      </c>
      <c r="O400" s="13">
        <f>vlookup(N400,Interview_Slots!$A$1:$D$5,3,false)</f>
        <v>75</v>
      </c>
      <c r="P400" s="13">
        <f>vlookup(N400,Interview_Slots!$A$1:$D$5,4,false)</f>
        <v>85</v>
      </c>
      <c r="Q400" s="13" t="str">
        <f t="shared" si="3"/>
        <v>Not Eligible</v>
      </c>
    </row>
    <row r="401" ht="15.75" customHeight="1">
      <c r="A401" s="8" t="s">
        <v>804</v>
      </c>
      <c r="B401" s="8" t="s">
        <v>805</v>
      </c>
      <c r="C401" s="8" t="s">
        <v>44</v>
      </c>
      <c r="D401" s="9" t="str">
        <f>vlookup(C401,Dept_Lookup!A$1:B$17,2,false)</f>
        <v>Computer Science</v>
      </c>
      <c r="E401" s="14">
        <v>45842.0</v>
      </c>
      <c r="F401" s="10">
        <f t="shared" si="4"/>
        <v>45842</v>
      </c>
      <c r="G401" s="8">
        <v>98.0</v>
      </c>
      <c r="H401" s="8">
        <v>93.0</v>
      </c>
      <c r="I401" s="8">
        <v>85.0</v>
      </c>
      <c r="J401" s="11">
        <f>G401*Scoring_Weights!B$2+H401*Scoring_Weights!B$3+I401*Scoring_Weights!B$4</f>
        <v>89.75</v>
      </c>
      <c r="K401" s="12">
        <v>0.86</v>
      </c>
      <c r="L401" s="12">
        <v>0.78</v>
      </c>
      <c r="M401" s="12">
        <f t="shared" si="2"/>
        <v>0.78</v>
      </c>
      <c r="N401" s="8" t="s">
        <v>794</v>
      </c>
      <c r="O401" s="13">
        <f>vlookup(N401,Interview_Slots!$A$1:$D$5,3,false)</f>
        <v>75</v>
      </c>
      <c r="P401" s="13">
        <f>vlookup(N401,Interview_Slots!$A$1:$D$5,4,false)</f>
        <v>85</v>
      </c>
      <c r="Q401" s="13" t="str">
        <f t="shared" si="3"/>
        <v>Eligible</v>
      </c>
      <c r="R401" s="7" t="s">
        <v>22</v>
      </c>
    </row>
    <row r="402" ht="15.75" customHeight="1">
      <c r="A402" s="8" t="s">
        <v>806</v>
      </c>
      <c r="B402" s="8" t="s">
        <v>807</v>
      </c>
      <c r="C402" s="8" t="s">
        <v>35</v>
      </c>
      <c r="D402" s="9" t="str">
        <f>vlookup(C402,Dept_Lookup!A$1:B$17,2,false)</f>
        <v>Electronics</v>
      </c>
      <c r="E402" s="9">
        <v>45878.0</v>
      </c>
      <c r="F402" s="10">
        <f t="shared" si="4"/>
        <v>45878</v>
      </c>
      <c r="G402" s="8">
        <v>98.0</v>
      </c>
      <c r="H402" s="8">
        <v>93.0</v>
      </c>
      <c r="I402" s="8">
        <v>85.0</v>
      </c>
      <c r="J402" s="11">
        <f>G402*Scoring_Weights!B$2+H402*Scoring_Weights!B$3+I402*Scoring_Weights!B$4</f>
        <v>89.75</v>
      </c>
      <c r="K402" s="12">
        <v>0.86</v>
      </c>
      <c r="L402" s="12">
        <v>0.78</v>
      </c>
      <c r="M402" s="12">
        <f t="shared" si="2"/>
        <v>0.78</v>
      </c>
      <c r="N402" s="8" t="s">
        <v>794</v>
      </c>
      <c r="O402" s="13">
        <f>vlookup(N402,Interview_Slots!$A$1:$D$5,3,false)</f>
        <v>75</v>
      </c>
      <c r="P402" s="13">
        <f>vlookup(N402,Interview_Slots!$A$1:$D$5,4,false)</f>
        <v>85</v>
      </c>
      <c r="Q402" s="13" t="str">
        <f t="shared" si="3"/>
        <v>Eligible</v>
      </c>
      <c r="R402" s="7" t="s">
        <v>22</v>
      </c>
    </row>
    <row r="403" ht="15.75" customHeight="1">
      <c r="A403" s="8" t="s">
        <v>808</v>
      </c>
      <c r="B403" s="8" t="s">
        <v>809</v>
      </c>
      <c r="C403" s="8" t="s">
        <v>44</v>
      </c>
      <c r="D403" s="9" t="str">
        <f>vlookup(C403,Dept_Lookup!A$1:B$17,2,false)</f>
        <v>Computer Science</v>
      </c>
      <c r="E403" s="14">
        <v>45865.0</v>
      </c>
      <c r="F403" s="10">
        <f t="shared" si="4"/>
        <v>45865</v>
      </c>
      <c r="G403" s="8">
        <v>81.0</v>
      </c>
      <c r="H403" s="8">
        <v>97.0</v>
      </c>
      <c r="I403" s="8">
        <v>87.0</v>
      </c>
      <c r="J403" s="11">
        <f>G403*Scoring_Weights!B$2+H403*Scoring_Weights!B$3+I403*Scoring_Weights!B$4</f>
        <v>89.6</v>
      </c>
      <c r="K403" s="12">
        <v>0.89</v>
      </c>
      <c r="L403" s="8">
        <v>0.94</v>
      </c>
      <c r="M403" s="12">
        <f t="shared" si="2"/>
        <v>0.94</v>
      </c>
      <c r="N403" s="8" t="s">
        <v>794</v>
      </c>
      <c r="O403" s="13">
        <f>vlookup(N403,Interview_Slots!$A$1:$D$5,3,false)</f>
        <v>75</v>
      </c>
      <c r="P403" s="13">
        <f>vlookup(N403,Interview_Slots!$A$1:$D$5,4,false)</f>
        <v>85</v>
      </c>
      <c r="Q403" s="13" t="str">
        <f t="shared" si="3"/>
        <v>Eligible</v>
      </c>
      <c r="R403" s="7" t="s">
        <v>22</v>
      </c>
    </row>
    <row r="404" ht="15.75" hidden="1" customHeight="1">
      <c r="A404" s="8" t="s">
        <v>810</v>
      </c>
      <c r="B404" s="8" t="s">
        <v>811</v>
      </c>
      <c r="C404" s="8" t="s">
        <v>41</v>
      </c>
      <c r="D404" s="9" t="str">
        <f>vlookup(C404,Dept_Lookup!A$1:B$17,2,false)</f>
        <v>Mechanical</v>
      </c>
      <c r="E404" s="14">
        <v>45870.0</v>
      </c>
      <c r="F404" s="10">
        <f t="shared" si="4"/>
        <v>45870</v>
      </c>
      <c r="G404" s="8">
        <v>74.0</v>
      </c>
      <c r="H404" s="8">
        <v>96.0</v>
      </c>
      <c r="I404" s="8">
        <v>89.0</v>
      </c>
      <c r="J404" s="11">
        <f>G404*Scoring_Weights!B$2+H404*Scoring_Weights!B$3+I404*Scoring_Weights!B$4</f>
        <v>89.2</v>
      </c>
      <c r="K404" s="12">
        <v>0.81</v>
      </c>
      <c r="L404" s="8">
        <v>1.0</v>
      </c>
      <c r="M404" s="12">
        <f t="shared" si="2"/>
        <v>1</v>
      </c>
      <c r="N404" s="8" t="s">
        <v>794</v>
      </c>
      <c r="O404" s="13">
        <f>vlookup(N404,Interview_Slots!$A$1:$D$5,3,false)</f>
        <v>75</v>
      </c>
      <c r="P404" s="13">
        <f>vlookup(N404,Interview_Slots!$A$1:$D$5,4,false)</f>
        <v>85</v>
      </c>
      <c r="Q404" s="13" t="str">
        <f t="shared" si="3"/>
        <v>Not Eligible</v>
      </c>
    </row>
    <row r="405" ht="15.75" customHeight="1">
      <c r="A405" s="8" t="s">
        <v>812</v>
      </c>
      <c r="B405" s="8" t="s">
        <v>813</v>
      </c>
      <c r="C405" s="8" t="s">
        <v>44</v>
      </c>
      <c r="D405" s="9" t="str">
        <f>vlookup(C405,Dept_Lookup!A$1:B$17,2,false)</f>
        <v>Computer Science</v>
      </c>
      <c r="E405" s="8" t="s">
        <v>92</v>
      </c>
      <c r="F405" s="10">
        <f t="shared" si="4"/>
        <v>45898</v>
      </c>
      <c r="G405" s="8">
        <v>67.0</v>
      </c>
      <c r="H405" s="8">
        <v>85.0</v>
      </c>
      <c r="I405" s="8">
        <v>96.0</v>
      </c>
      <c r="J405" s="11">
        <f>G405*Scoring_Weights!B$2+H405*Scoring_Weights!B$3+I405*Scoring_Weights!B$4</f>
        <v>87.8</v>
      </c>
      <c r="K405" s="12">
        <v>0.92</v>
      </c>
      <c r="L405" s="8">
        <v>0.89</v>
      </c>
      <c r="M405" s="12">
        <f t="shared" si="2"/>
        <v>0.89</v>
      </c>
      <c r="N405" s="8" t="s">
        <v>794</v>
      </c>
      <c r="O405" s="13">
        <f>vlookup(N405,Interview_Slots!$A$1:$D$5,3,false)</f>
        <v>75</v>
      </c>
      <c r="P405" s="13">
        <f>vlookup(N405,Interview_Slots!$A$1:$D$5,4,false)</f>
        <v>85</v>
      </c>
      <c r="Q405" s="13" t="str">
        <f t="shared" si="3"/>
        <v>Eligible</v>
      </c>
      <c r="R405" s="7" t="s">
        <v>22</v>
      </c>
    </row>
    <row r="406" ht="15.75" customHeight="1">
      <c r="A406" s="8" t="s">
        <v>814</v>
      </c>
      <c r="B406" s="8" t="s">
        <v>815</v>
      </c>
      <c r="C406" s="8" t="s">
        <v>57</v>
      </c>
      <c r="D406" s="9" t="str">
        <f>vlookup(C406,Dept_Lookup!A$1:B$17,2,false)</f>
        <v>Computer Science</v>
      </c>
      <c r="E406" s="9">
        <v>45866.0</v>
      </c>
      <c r="F406" s="10">
        <f t="shared" si="4"/>
        <v>45866</v>
      </c>
      <c r="G406" s="8">
        <v>73.0</v>
      </c>
      <c r="H406" s="8">
        <v>82.0</v>
      </c>
      <c r="I406" s="8">
        <v>96.0</v>
      </c>
      <c r="J406" s="11">
        <f>G406*Scoring_Weights!B$2+H406*Scoring_Weights!B$3+I406*Scoring_Weights!B$4</f>
        <v>87.65</v>
      </c>
      <c r="K406" s="12">
        <v>0.87</v>
      </c>
      <c r="L406" s="8">
        <v>0.86</v>
      </c>
      <c r="M406" s="12">
        <f t="shared" si="2"/>
        <v>0.86</v>
      </c>
      <c r="N406" s="8" t="s">
        <v>794</v>
      </c>
      <c r="O406" s="13">
        <f>vlookup(N406,Interview_Slots!$A$1:$D$5,3,false)</f>
        <v>75</v>
      </c>
      <c r="P406" s="13">
        <f>vlookup(N406,Interview_Slots!$A$1:$D$5,4,false)</f>
        <v>85</v>
      </c>
      <c r="Q406" s="13" t="str">
        <f t="shared" si="3"/>
        <v>Eligible</v>
      </c>
      <c r="R406" s="7" t="s">
        <v>22</v>
      </c>
    </row>
    <row r="407" ht="15.75" customHeight="1">
      <c r="A407" s="8" t="s">
        <v>816</v>
      </c>
      <c r="B407" s="8" t="s">
        <v>291</v>
      </c>
      <c r="C407" s="8" t="s">
        <v>102</v>
      </c>
      <c r="D407" s="9" t="str">
        <f>vlookup(C407,Dept_Lookup!A$1:B$17,2,false)</f>
        <v>Computer Science</v>
      </c>
      <c r="E407" s="14">
        <v>45866.0</v>
      </c>
      <c r="F407" s="10">
        <f t="shared" si="4"/>
        <v>45866</v>
      </c>
      <c r="G407" s="8">
        <v>84.0</v>
      </c>
      <c r="H407" s="8">
        <v>94.0</v>
      </c>
      <c r="I407" s="8">
        <v>84.0</v>
      </c>
      <c r="J407" s="11">
        <f>G407*Scoring_Weights!B$2+H407*Scoring_Weights!B$3+I407*Scoring_Weights!B$4</f>
        <v>87.5</v>
      </c>
      <c r="K407" s="12">
        <v>0.95</v>
      </c>
      <c r="L407" s="8">
        <v>0.78</v>
      </c>
      <c r="M407" s="12">
        <f t="shared" si="2"/>
        <v>0.78</v>
      </c>
      <c r="N407" s="8" t="s">
        <v>794</v>
      </c>
      <c r="O407" s="13">
        <f>vlookup(N407,Interview_Slots!$A$1:$D$5,3,false)</f>
        <v>75</v>
      </c>
      <c r="P407" s="13">
        <f>vlookup(N407,Interview_Slots!$A$1:$D$5,4,false)</f>
        <v>85</v>
      </c>
      <c r="Q407" s="13" t="str">
        <f t="shared" si="3"/>
        <v>Eligible</v>
      </c>
      <c r="R407" s="7" t="s">
        <v>22</v>
      </c>
    </row>
    <row r="408" ht="15.75" customHeight="1">
      <c r="A408" s="8" t="s">
        <v>817</v>
      </c>
      <c r="B408" s="8" t="s">
        <v>818</v>
      </c>
      <c r="C408" s="8" t="s">
        <v>102</v>
      </c>
      <c r="D408" s="9" t="str">
        <f>vlookup(C408,Dept_Lookup!A$1:B$17,2,false)</f>
        <v>Computer Science</v>
      </c>
      <c r="E408" s="9">
        <v>45860.0</v>
      </c>
      <c r="F408" s="10">
        <f t="shared" si="4"/>
        <v>45860</v>
      </c>
      <c r="G408" s="8">
        <v>90.0</v>
      </c>
      <c r="H408" s="8">
        <v>74.0</v>
      </c>
      <c r="I408" s="8">
        <v>96.0</v>
      </c>
      <c r="J408" s="11">
        <f>G408*Scoring_Weights!B$2+H408*Scoring_Weights!B$3+I408*Scoring_Weights!B$4</f>
        <v>87.4</v>
      </c>
      <c r="K408" s="12">
        <v>0.89</v>
      </c>
      <c r="L408" s="8">
        <v>0.99</v>
      </c>
      <c r="M408" s="12">
        <f t="shared" si="2"/>
        <v>0.99</v>
      </c>
      <c r="N408" s="8" t="s">
        <v>794</v>
      </c>
      <c r="O408" s="13">
        <f>vlookup(N408,Interview_Slots!$A$1:$D$5,3,false)</f>
        <v>75</v>
      </c>
      <c r="P408" s="13">
        <f>vlookup(N408,Interview_Slots!$A$1:$D$5,4,false)</f>
        <v>85</v>
      </c>
      <c r="Q408" s="13" t="str">
        <f t="shared" si="3"/>
        <v>Eligible</v>
      </c>
      <c r="R408" s="7" t="s">
        <v>22</v>
      </c>
    </row>
    <row r="409" ht="15.75" customHeight="1">
      <c r="A409" s="8" t="s">
        <v>819</v>
      </c>
      <c r="B409" s="8" t="s">
        <v>820</v>
      </c>
      <c r="C409" s="8" t="s">
        <v>20</v>
      </c>
      <c r="D409" s="9" t="str">
        <f>vlookup(C409,Dept_Lookup!A$1:B$17,2,false)</f>
        <v>Electronics</v>
      </c>
      <c r="E409" s="9">
        <v>45894.0</v>
      </c>
      <c r="F409" s="10">
        <f t="shared" si="4"/>
        <v>45894</v>
      </c>
      <c r="G409" s="8">
        <v>76.0</v>
      </c>
      <c r="H409" s="8">
        <v>81.0</v>
      </c>
      <c r="I409" s="8">
        <v>95.0</v>
      </c>
      <c r="J409" s="11">
        <f>G409*Scoring_Weights!B$2+H409*Scoring_Weights!B$3+I409*Scoring_Weights!B$4</f>
        <v>87.25</v>
      </c>
      <c r="K409" s="12">
        <v>0.86</v>
      </c>
      <c r="L409" s="8">
        <v>0.8</v>
      </c>
      <c r="M409" s="12">
        <f t="shared" si="2"/>
        <v>0.8</v>
      </c>
      <c r="N409" s="8" t="s">
        <v>794</v>
      </c>
      <c r="O409" s="13">
        <f>vlookup(N409,Interview_Slots!$A$1:$D$5,3,false)</f>
        <v>75</v>
      </c>
      <c r="P409" s="13">
        <f>vlookup(N409,Interview_Slots!$A$1:$D$5,4,false)</f>
        <v>85</v>
      </c>
      <c r="Q409" s="13" t="str">
        <f t="shared" si="3"/>
        <v>Eligible</v>
      </c>
      <c r="R409" s="7" t="s">
        <v>22</v>
      </c>
    </row>
    <row r="410" ht="15.75" hidden="1" customHeight="1">
      <c r="A410" s="8" t="s">
        <v>821</v>
      </c>
      <c r="B410" s="8" t="s">
        <v>822</v>
      </c>
      <c r="C410" s="8" t="s">
        <v>50</v>
      </c>
      <c r="D410" s="9" t="str">
        <f>vlookup(C410,Dept_Lookup!A$1:B$17,2,false)</f>
        <v>Electronics</v>
      </c>
      <c r="E410" s="9">
        <v>45872.0</v>
      </c>
      <c r="F410" s="10">
        <f t="shared" si="4"/>
        <v>45872</v>
      </c>
      <c r="G410" s="8">
        <v>80.0</v>
      </c>
      <c r="H410" s="8">
        <v>93.0</v>
      </c>
      <c r="I410" s="8">
        <v>85.0</v>
      </c>
      <c r="J410" s="11">
        <f>G410*Scoring_Weights!B$2+H410*Scoring_Weights!B$3+I410*Scoring_Weights!B$4</f>
        <v>87.05</v>
      </c>
      <c r="K410" s="12">
        <v>0.78</v>
      </c>
      <c r="L410" s="12">
        <v>0.94</v>
      </c>
      <c r="M410" s="12">
        <f t="shared" si="2"/>
        <v>0.94</v>
      </c>
      <c r="N410" s="8" t="s">
        <v>794</v>
      </c>
      <c r="O410" s="13">
        <f>vlookup(N410,Interview_Slots!$A$1:$D$5,3,false)</f>
        <v>75</v>
      </c>
      <c r="P410" s="13">
        <f>vlookup(N410,Interview_Slots!$A$1:$D$5,4,false)</f>
        <v>85</v>
      </c>
      <c r="Q410" s="13" t="str">
        <f t="shared" si="3"/>
        <v>Not Eligible</v>
      </c>
    </row>
    <row r="411" ht="15.75" hidden="1" customHeight="1">
      <c r="A411" s="8" t="s">
        <v>823</v>
      </c>
      <c r="B411" s="8" t="s">
        <v>820</v>
      </c>
      <c r="C411" s="8" t="s">
        <v>20</v>
      </c>
      <c r="D411" s="9" t="str">
        <f>vlookup(C411,Dept_Lookup!A$1:B$17,2,false)</f>
        <v>Electronics</v>
      </c>
      <c r="E411" s="9">
        <v>45893.0</v>
      </c>
      <c r="F411" s="10">
        <f t="shared" si="4"/>
        <v>45893</v>
      </c>
      <c r="G411" s="8">
        <v>87.0</v>
      </c>
      <c r="H411" s="8">
        <v>77.0</v>
      </c>
      <c r="I411" s="8">
        <v>94.0</v>
      </c>
      <c r="J411" s="11">
        <f>G411*Scoring_Weights!B$2+H411*Scoring_Weights!B$3+I411*Scoring_Weights!B$4</f>
        <v>87</v>
      </c>
      <c r="K411" s="12">
        <v>0.82</v>
      </c>
      <c r="L411" s="8">
        <v>0.75</v>
      </c>
      <c r="M411" s="12">
        <f t="shared" si="2"/>
        <v>0.75</v>
      </c>
      <c r="N411" s="8" t="s">
        <v>794</v>
      </c>
      <c r="O411" s="13">
        <f>vlookup(N411,Interview_Slots!$A$1:$D$5,3,false)</f>
        <v>75</v>
      </c>
      <c r="P411" s="13">
        <f>vlookup(N411,Interview_Slots!$A$1:$D$5,4,false)</f>
        <v>85</v>
      </c>
      <c r="Q411" s="13" t="str">
        <f t="shared" si="3"/>
        <v>Not Eligible</v>
      </c>
    </row>
    <row r="412" ht="15.75" customHeight="1">
      <c r="A412" s="8" t="s">
        <v>824</v>
      </c>
      <c r="B412" s="8" t="s">
        <v>639</v>
      </c>
      <c r="C412" s="8" t="s">
        <v>41</v>
      </c>
      <c r="D412" s="9" t="str">
        <f>vlookup(C412,Dept_Lookup!A$1:B$17,2,false)</f>
        <v>Mechanical</v>
      </c>
      <c r="E412" s="9">
        <v>45863.0</v>
      </c>
      <c r="F412" s="10">
        <f t="shared" si="4"/>
        <v>45863</v>
      </c>
      <c r="G412" s="8">
        <v>93.0</v>
      </c>
      <c r="H412" s="8">
        <v>87.0</v>
      </c>
      <c r="I412" s="8">
        <v>84.0</v>
      </c>
      <c r="J412" s="11">
        <f>G412*Scoring_Weights!B$2+H412*Scoring_Weights!B$3+I412*Scoring_Weights!B$4</f>
        <v>86.4</v>
      </c>
      <c r="K412" s="12">
        <v>0.91</v>
      </c>
      <c r="L412" s="15">
        <v>0.73</v>
      </c>
      <c r="M412" s="12">
        <f t="shared" si="2"/>
        <v>0.73</v>
      </c>
      <c r="N412" s="8" t="s">
        <v>794</v>
      </c>
      <c r="O412" s="13">
        <f>vlookup(N412,Interview_Slots!$A$1:$D$5,3,false)</f>
        <v>75</v>
      </c>
      <c r="P412" s="13">
        <f>vlookup(N412,Interview_Slots!$A$1:$D$5,4,false)</f>
        <v>85</v>
      </c>
      <c r="Q412" s="13" t="str">
        <f t="shared" si="3"/>
        <v>Eligible</v>
      </c>
      <c r="R412" s="7" t="s">
        <v>22</v>
      </c>
    </row>
    <row r="413" ht="15.75" customHeight="1">
      <c r="B413" s="8" t="s">
        <v>825</v>
      </c>
      <c r="C413" s="8" t="s">
        <v>72</v>
      </c>
      <c r="D413" s="9" t="str">
        <f>vlookup(C413,Dept_Lookup!A$1:B$17,2,false)</f>
        <v>Mechanical</v>
      </c>
      <c r="E413" s="14">
        <v>45874.0</v>
      </c>
      <c r="F413" s="10">
        <f t="shared" si="4"/>
        <v>45874</v>
      </c>
      <c r="G413" s="8">
        <v>84.0</v>
      </c>
      <c r="H413" s="8">
        <v>97.0</v>
      </c>
      <c r="I413" s="8">
        <v>79.0</v>
      </c>
      <c r="J413" s="11">
        <f>G413*Scoring_Weights!B$2+H413*Scoring_Weights!B$3+I413*Scoring_Weights!B$4</f>
        <v>86.05</v>
      </c>
      <c r="K413" s="12">
        <v>0.95</v>
      </c>
      <c r="L413" s="8">
        <v>0.83</v>
      </c>
      <c r="M413" s="12">
        <f t="shared" si="2"/>
        <v>0.83</v>
      </c>
      <c r="N413" s="8" t="s">
        <v>794</v>
      </c>
      <c r="O413" s="13">
        <f>vlookup(N413,Interview_Slots!$A$1:$D$5,3,false)</f>
        <v>75</v>
      </c>
      <c r="P413" s="13">
        <f>vlookup(N413,Interview_Slots!$A$1:$D$5,4,false)</f>
        <v>85</v>
      </c>
      <c r="Q413" s="13" t="str">
        <f t="shared" si="3"/>
        <v>Eligible</v>
      </c>
      <c r="R413" s="7" t="s">
        <v>22</v>
      </c>
    </row>
    <row r="414" ht="15.75" customHeight="1">
      <c r="A414" s="8" t="s">
        <v>826</v>
      </c>
      <c r="B414" s="8" t="s">
        <v>672</v>
      </c>
      <c r="C414" s="8" t="s">
        <v>161</v>
      </c>
      <c r="D414" s="9" t="str">
        <f>vlookup(C414,Dept_Lookup!A$1:B$17,2,false)</f>
        <v>Mechanical</v>
      </c>
      <c r="E414" s="14">
        <v>45931.0</v>
      </c>
      <c r="F414" s="10">
        <f t="shared" si="4"/>
        <v>45931</v>
      </c>
      <c r="G414" s="8">
        <v>98.0</v>
      </c>
      <c r="H414" s="8">
        <v>95.0</v>
      </c>
      <c r="I414" s="8">
        <v>76.0</v>
      </c>
      <c r="J414" s="11">
        <f>G414*Scoring_Weights!B$2+H414*Scoring_Weights!B$3+I414*Scoring_Weights!B$4</f>
        <v>85.95</v>
      </c>
      <c r="K414" s="12">
        <v>0.91</v>
      </c>
      <c r="L414" s="8">
        <v>0.78</v>
      </c>
      <c r="M414" s="12">
        <f t="shared" si="2"/>
        <v>0.78</v>
      </c>
      <c r="N414" s="8" t="s">
        <v>794</v>
      </c>
      <c r="O414" s="13">
        <f>vlookup(N414,Interview_Slots!$A$1:$D$5,3,false)</f>
        <v>75</v>
      </c>
      <c r="P414" s="13">
        <f>vlookup(N414,Interview_Slots!$A$1:$D$5,4,false)</f>
        <v>85</v>
      </c>
      <c r="Q414" s="13" t="str">
        <f t="shared" si="3"/>
        <v>Eligible</v>
      </c>
      <c r="R414" s="7" t="s">
        <v>22</v>
      </c>
    </row>
    <row r="415" ht="15.75" customHeight="1">
      <c r="A415" s="8" t="s">
        <v>827</v>
      </c>
      <c r="B415" s="8" t="s">
        <v>828</v>
      </c>
      <c r="C415" s="8" t="s">
        <v>108</v>
      </c>
      <c r="D415" s="9" t="str">
        <f>vlookup(C415,Dept_Lookup!A$1:B$17,2,false)</f>
        <v>Civil</v>
      </c>
      <c r="E415" s="8" t="s">
        <v>92</v>
      </c>
      <c r="F415" s="10">
        <f t="shared" si="4"/>
        <v>45898</v>
      </c>
      <c r="G415" s="8">
        <v>64.0</v>
      </c>
      <c r="H415" s="8">
        <v>80.0</v>
      </c>
      <c r="I415" s="8">
        <v>96.0</v>
      </c>
      <c r="J415" s="11">
        <f>G415*Scoring_Weights!B$2+H415*Scoring_Weights!B$3+I415*Scoring_Weights!B$4</f>
        <v>85.6</v>
      </c>
      <c r="K415" s="12">
        <v>0.89</v>
      </c>
      <c r="L415" s="12">
        <v>1.0</v>
      </c>
      <c r="M415" s="12">
        <f t="shared" si="2"/>
        <v>1</v>
      </c>
      <c r="N415" s="8" t="s">
        <v>794</v>
      </c>
      <c r="O415" s="13">
        <f>vlookup(N415,Interview_Slots!$A$1:$D$5,3,false)</f>
        <v>75</v>
      </c>
      <c r="P415" s="13">
        <f>vlookup(N415,Interview_Slots!$A$1:$D$5,4,false)</f>
        <v>85</v>
      </c>
      <c r="Q415" s="13" t="str">
        <f t="shared" si="3"/>
        <v>Eligible</v>
      </c>
      <c r="R415" s="7" t="s">
        <v>22</v>
      </c>
    </row>
    <row r="416" ht="15.75" customHeight="1">
      <c r="A416" s="8" t="s">
        <v>829</v>
      </c>
      <c r="B416" s="8" t="s">
        <v>666</v>
      </c>
      <c r="C416" s="8" t="s">
        <v>105</v>
      </c>
      <c r="D416" s="9" t="str">
        <f>vlookup(C416,Dept_Lookup!A$1:B$17,2,false)</f>
        <v>Civil</v>
      </c>
      <c r="E416" s="14">
        <v>45915.0</v>
      </c>
      <c r="F416" s="10">
        <f t="shared" si="4"/>
        <v>45915</v>
      </c>
      <c r="G416" s="8">
        <v>75.0</v>
      </c>
      <c r="H416" s="8">
        <v>78.0</v>
      </c>
      <c r="I416" s="8">
        <v>94.0</v>
      </c>
      <c r="J416" s="11">
        <f>G416*Scoring_Weights!B$2+H416*Scoring_Weights!B$3+I416*Scoring_Weights!B$4</f>
        <v>85.55</v>
      </c>
      <c r="K416" s="12">
        <v>0.87</v>
      </c>
      <c r="L416" s="12">
        <v>0.78</v>
      </c>
      <c r="M416" s="12">
        <f t="shared" si="2"/>
        <v>0.78</v>
      </c>
      <c r="N416" s="8" t="s">
        <v>794</v>
      </c>
      <c r="O416" s="13">
        <f>vlookup(N416,Interview_Slots!$A$1:$D$5,3,false)</f>
        <v>75</v>
      </c>
      <c r="P416" s="13">
        <f>vlookup(N416,Interview_Slots!$A$1:$D$5,4,false)</f>
        <v>85</v>
      </c>
      <c r="Q416" s="13" t="str">
        <f t="shared" si="3"/>
        <v>Eligible</v>
      </c>
      <c r="R416" s="7" t="s">
        <v>22</v>
      </c>
    </row>
    <row r="417" ht="15.75" hidden="1" customHeight="1">
      <c r="A417" s="8" t="s">
        <v>830</v>
      </c>
      <c r="B417" s="8" t="s">
        <v>285</v>
      </c>
      <c r="C417" s="8" t="s">
        <v>28</v>
      </c>
      <c r="D417" s="9" t="str">
        <f>vlookup(C417,Dept_Lookup!A$1:B$17,2,false)</f>
        <v>Electronics</v>
      </c>
      <c r="E417" s="14">
        <v>45877.0</v>
      </c>
      <c r="F417" s="10">
        <f t="shared" si="4"/>
        <v>45877</v>
      </c>
      <c r="G417" s="8">
        <v>86.0</v>
      </c>
      <c r="H417" s="8">
        <v>76.0</v>
      </c>
      <c r="I417" s="8">
        <v>92.0</v>
      </c>
      <c r="J417" s="11">
        <f>G417*Scoring_Weights!B$2+H417*Scoring_Weights!B$3+I417*Scoring_Weights!B$4</f>
        <v>85.5</v>
      </c>
      <c r="K417" s="12">
        <v>0.83</v>
      </c>
      <c r="L417" s="8">
        <v>1.0</v>
      </c>
      <c r="M417" s="12">
        <f t="shared" si="2"/>
        <v>1</v>
      </c>
      <c r="N417" s="8" t="s">
        <v>794</v>
      </c>
      <c r="O417" s="13">
        <f>vlookup(N417,Interview_Slots!$A$1:$D$5,3,false)</f>
        <v>75</v>
      </c>
      <c r="P417" s="13">
        <f>vlookup(N417,Interview_Slots!$A$1:$D$5,4,false)</f>
        <v>85</v>
      </c>
      <c r="Q417" s="13" t="str">
        <f t="shared" si="3"/>
        <v>Not Eligible</v>
      </c>
    </row>
    <row r="418" ht="15.75" hidden="1" customHeight="1">
      <c r="A418" s="8" t="s">
        <v>831</v>
      </c>
      <c r="B418" s="8" t="s">
        <v>832</v>
      </c>
      <c r="C418" s="8" t="s">
        <v>161</v>
      </c>
      <c r="D418" s="9" t="str">
        <f>vlookup(C418,Dept_Lookup!A$1:B$17,2,false)</f>
        <v>Mechanical</v>
      </c>
      <c r="E418" s="9">
        <v>45878.0</v>
      </c>
      <c r="F418" s="10">
        <f t="shared" si="4"/>
        <v>45878</v>
      </c>
      <c r="G418" s="8">
        <v>79.0</v>
      </c>
      <c r="H418" s="8">
        <v>77.0</v>
      </c>
      <c r="I418" s="8">
        <v>93.0</v>
      </c>
      <c r="J418" s="11">
        <f>G418*Scoring_Weights!B$2+H418*Scoring_Weights!B$3+I418*Scoring_Weights!B$4</f>
        <v>85.3</v>
      </c>
      <c r="K418" s="12">
        <v>0.76</v>
      </c>
      <c r="L418" s="8">
        <v>0.85</v>
      </c>
      <c r="M418" s="12">
        <f t="shared" si="2"/>
        <v>0.85</v>
      </c>
      <c r="N418" s="8" t="s">
        <v>794</v>
      </c>
      <c r="O418" s="13">
        <f>vlookup(N418,Interview_Slots!$A$1:$D$5,3,false)</f>
        <v>75</v>
      </c>
      <c r="P418" s="13">
        <f>vlookup(N418,Interview_Slots!$A$1:$D$5,4,false)</f>
        <v>85</v>
      </c>
      <c r="Q418" s="13" t="str">
        <f t="shared" si="3"/>
        <v>Not Eligible</v>
      </c>
    </row>
    <row r="419" ht="15.75" hidden="1" customHeight="1">
      <c r="A419" s="8" t="s">
        <v>833</v>
      </c>
      <c r="B419" s="8" t="s">
        <v>834</v>
      </c>
      <c r="C419" s="8" t="s">
        <v>161</v>
      </c>
      <c r="D419" s="9" t="str">
        <f>vlookup(C419,Dept_Lookup!A$1:B$17,2,false)</f>
        <v>Mechanical</v>
      </c>
      <c r="E419" s="14">
        <v>45865.0</v>
      </c>
      <c r="F419" s="10">
        <f t="shared" si="4"/>
        <v>45865</v>
      </c>
      <c r="G419" s="8">
        <v>96.0</v>
      </c>
      <c r="H419" s="8">
        <v>91.0</v>
      </c>
      <c r="I419" s="8">
        <v>78.0</v>
      </c>
      <c r="J419" s="11">
        <f>G419*Scoring_Weights!B$2+H419*Scoring_Weights!B$3+I419*Scoring_Weights!B$4</f>
        <v>85.25</v>
      </c>
      <c r="K419" s="12">
        <v>0.84</v>
      </c>
      <c r="L419" s="8">
        <v>0.8</v>
      </c>
      <c r="M419" s="12">
        <f t="shared" si="2"/>
        <v>0.8</v>
      </c>
      <c r="N419" s="8" t="s">
        <v>794</v>
      </c>
      <c r="O419" s="13">
        <f>vlookup(N419,Interview_Slots!$A$1:$D$5,3,false)</f>
        <v>75</v>
      </c>
      <c r="P419" s="13">
        <f>vlookup(N419,Interview_Slots!$A$1:$D$5,4,false)</f>
        <v>85</v>
      </c>
      <c r="Q419" s="13" t="str">
        <f t="shared" si="3"/>
        <v>Not Eligible</v>
      </c>
    </row>
    <row r="420" ht="15.75" hidden="1" customHeight="1">
      <c r="A420" s="8" t="s">
        <v>835</v>
      </c>
      <c r="B420" s="8" t="s">
        <v>836</v>
      </c>
      <c r="C420" s="8" t="s">
        <v>72</v>
      </c>
      <c r="D420" s="9" t="str">
        <f>vlookup(C420,Dept_Lookup!A$1:B$17,2,false)</f>
        <v>Mechanical</v>
      </c>
      <c r="E420" s="8" t="s">
        <v>92</v>
      </c>
      <c r="F420" s="10">
        <f t="shared" si="4"/>
        <v>45898</v>
      </c>
      <c r="G420" s="8">
        <v>92.0</v>
      </c>
      <c r="H420" s="8">
        <v>77.0</v>
      </c>
      <c r="I420" s="8">
        <v>89.0</v>
      </c>
      <c r="J420" s="11">
        <f>G420*Scoring_Weights!B$2+H420*Scoring_Weights!B$3+I420*Scoring_Weights!B$4</f>
        <v>85.25</v>
      </c>
      <c r="K420" s="12">
        <v>0.84</v>
      </c>
      <c r="L420" s="15">
        <v>0.73</v>
      </c>
      <c r="M420" s="12">
        <f t="shared" si="2"/>
        <v>0.73</v>
      </c>
      <c r="N420" s="8" t="s">
        <v>794</v>
      </c>
      <c r="O420" s="13">
        <f>vlookup(N420,Interview_Slots!$A$1:$D$5,3,false)</f>
        <v>75</v>
      </c>
      <c r="P420" s="13">
        <f>vlookup(N420,Interview_Slots!$A$1:$D$5,4,false)</f>
        <v>85</v>
      </c>
      <c r="Q420" s="13" t="str">
        <f t="shared" si="3"/>
        <v>Not Eligible</v>
      </c>
    </row>
    <row r="421" ht="15.75" hidden="1" customHeight="1">
      <c r="A421" s="8" t="s">
        <v>837</v>
      </c>
      <c r="B421" s="8" t="s">
        <v>838</v>
      </c>
      <c r="C421" s="8" t="s">
        <v>105</v>
      </c>
      <c r="D421" s="9" t="str">
        <f>vlookup(C421,Dept_Lookup!A$1:B$17,2,false)</f>
        <v>Civil</v>
      </c>
      <c r="E421" s="14">
        <v>45900.0</v>
      </c>
      <c r="F421" s="10">
        <f t="shared" si="4"/>
        <v>45900</v>
      </c>
      <c r="G421" s="8">
        <v>77.0</v>
      </c>
      <c r="H421" s="8">
        <v>82.0</v>
      </c>
      <c r="I421" s="8">
        <v>89.0</v>
      </c>
      <c r="J421" s="11">
        <f>G421*Scoring_Weights!B$2+H421*Scoring_Weights!B$3+I421*Scoring_Weights!B$4</f>
        <v>84.75</v>
      </c>
      <c r="K421" s="12">
        <v>0.8</v>
      </c>
      <c r="L421" s="12">
        <v>0.91</v>
      </c>
      <c r="M421" s="12">
        <f t="shared" si="2"/>
        <v>0.91</v>
      </c>
      <c r="N421" s="8" t="s">
        <v>794</v>
      </c>
      <c r="O421" s="13">
        <f>vlookup(N421,Interview_Slots!$A$1:$D$5,3,false)</f>
        <v>75</v>
      </c>
      <c r="P421" s="13">
        <f>vlookup(N421,Interview_Slots!$A$1:$D$5,4,false)</f>
        <v>85</v>
      </c>
      <c r="Q421" s="13" t="str">
        <f t="shared" si="3"/>
        <v>Not Eligible</v>
      </c>
    </row>
    <row r="422" ht="15.75" customHeight="1">
      <c r="A422" s="8" t="s">
        <v>839</v>
      </c>
      <c r="B422" s="8" t="s">
        <v>840</v>
      </c>
      <c r="C422" s="8" t="s">
        <v>47</v>
      </c>
      <c r="D422" s="9" t="str">
        <f>vlookup(C422,Dept_Lookup!A$1:B$17,2,false)</f>
        <v>Civil</v>
      </c>
      <c r="E422" s="14">
        <v>45854.0</v>
      </c>
      <c r="F422" s="10">
        <f t="shared" si="4"/>
        <v>45854</v>
      </c>
      <c r="G422" s="8">
        <v>82.0</v>
      </c>
      <c r="H422" s="8">
        <v>95.0</v>
      </c>
      <c r="I422" s="8">
        <v>78.0</v>
      </c>
      <c r="J422" s="11">
        <f>G422*Scoring_Weights!B$2+H422*Scoring_Weights!B$3+I422*Scoring_Weights!B$4</f>
        <v>84.55</v>
      </c>
      <c r="K422" s="12">
        <v>0.86</v>
      </c>
      <c r="L422" s="8">
        <v>0.84</v>
      </c>
      <c r="M422" s="12">
        <f t="shared" si="2"/>
        <v>0.84</v>
      </c>
      <c r="N422" s="8" t="s">
        <v>794</v>
      </c>
      <c r="O422" s="13">
        <f>vlookup(N422,Interview_Slots!$A$1:$D$5,3,false)</f>
        <v>75</v>
      </c>
      <c r="P422" s="13">
        <f>vlookup(N422,Interview_Slots!$A$1:$D$5,4,false)</f>
        <v>85</v>
      </c>
      <c r="Q422" s="13" t="str">
        <f t="shared" si="3"/>
        <v>Eligible</v>
      </c>
      <c r="R422" s="7" t="s">
        <v>22</v>
      </c>
    </row>
    <row r="423" ht="15.75" hidden="1" customHeight="1">
      <c r="A423" s="8" t="s">
        <v>841</v>
      </c>
      <c r="B423" s="8" t="s">
        <v>825</v>
      </c>
      <c r="C423" s="8" t="s">
        <v>72</v>
      </c>
      <c r="D423" s="9" t="str">
        <f>vlookup(C423,Dept_Lookup!A$1:B$17,2,false)</f>
        <v>Mechanical</v>
      </c>
      <c r="E423" s="14">
        <v>45870.0</v>
      </c>
      <c r="F423" s="10">
        <f t="shared" si="4"/>
        <v>45870</v>
      </c>
      <c r="G423" s="8">
        <v>84.0</v>
      </c>
      <c r="H423" s="8">
        <v>72.0</v>
      </c>
      <c r="I423" s="8">
        <v>93.0</v>
      </c>
      <c r="J423" s="11">
        <f>G423*Scoring_Weights!B$2+H423*Scoring_Weights!B$3+I423*Scoring_Weights!B$4</f>
        <v>84.3</v>
      </c>
      <c r="K423" s="12">
        <v>0.79</v>
      </c>
      <c r="L423" s="8">
        <v>0.96</v>
      </c>
      <c r="M423" s="12">
        <f t="shared" si="2"/>
        <v>0.96</v>
      </c>
      <c r="N423" s="8" t="s">
        <v>794</v>
      </c>
      <c r="O423" s="13">
        <f>vlookup(N423,Interview_Slots!$A$1:$D$5,3,false)</f>
        <v>75</v>
      </c>
      <c r="P423" s="13">
        <f>vlookup(N423,Interview_Slots!$A$1:$D$5,4,false)</f>
        <v>85</v>
      </c>
      <c r="Q423" s="13" t="str">
        <f t="shared" si="3"/>
        <v>Not Eligible</v>
      </c>
    </row>
    <row r="424" ht="15.75" customHeight="1">
      <c r="A424" s="8" t="s">
        <v>842</v>
      </c>
      <c r="B424" s="8" t="s">
        <v>843</v>
      </c>
      <c r="C424" s="8" t="s">
        <v>105</v>
      </c>
      <c r="D424" s="9" t="str">
        <f>vlookup(C424,Dept_Lookup!A$1:B$17,2,false)</f>
        <v>Civil</v>
      </c>
      <c r="E424" s="14">
        <v>45880.0</v>
      </c>
      <c r="F424" s="10">
        <f t="shared" si="4"/>
        <v>45880</v>
      </c>
      <c r="G424" s="8">
        <v>96.0</v>
      </c>
      <c r="H424" s="8">
        <v>76.0</v>
      </c>
      <c r="I424" s="8">
        <v>86.0</v>
      </c>
      <c r="J424" s="11">
        <f>G424*Scoring_Weights!B$2+H424*Scoring_Weights!B$3+I424*Scoring_Weights!B$4</f>
        <v>84</v>
      </c>
      <c r="K424" s="12">
        <v>0.85</v>
      </c>
      <c r="L424" s="8">
        <v>0.76</v>
      </c>
      <c r="M424" s="12">
        <f t="shared" si="2"/>
        <v>0.76</v>
      </c>
      <c r="N424" s="8" t="s">
        <v>794</v>
      </c>
      <c r="O424" s="13">
        <f>vlookup(N424,Interview_Slots!$A$1:$D$5,3,false)</f>
        <v>75</v>
      </c>
      <c r="P424" s="13">
        <f>vlookup(N424,Interview_Slots!$A$1:$D$5,4,false)</f>
        <v>85</v>
      </c>
      <c r="Q424" s="13" t="str">
        <f t="shared" si="3"/>
        <v>Eligible</v>
      </c>
      <c r="R424" s="7" t="s">
        <v>22</v>
      </c>
    </row>
    <row r="425" ht="15.75" customHeight="1">
      <c r="A425" s="8" t="s">
        <v>844</v>
      </c>
      <c r="B425" s="8" t="s">
        <v>845</v>
      </c>
      <c r="C425" s="8" t="s">
        <v>72</v>
      </c>
      <c r="D425" s="9" t="str">
        <f>vlookup(C425,Dept_Lookup!A$1:B$17,2,false)</f>
        <v>Mechanical</v>
      </c>
      <c r="E425" s="14">
        <v>45880.0</v>
      </c>
      <c r="F425" s="10">
        <f t="shared" si="4"/>
        <v>45880</v>
      </c>
      <c r="G425" s="8">
        <v>81.0</v>
      </c>
      <c r="H425" s="8">
        <v>71.0</v>
      </c>
      <c r="I425" s="8">
        <v>93.0</v>
      </c>
      <c r="J425" s="11">
        <f>G425*Scoring_Weights!B$2+H425*Scoring_Weights!B$3+I425*Scoring_Weights!B$4</f>
        <v>83.5</v>
      </c>
      <c r="K425" s="12">
        <v>0.89</v>
      </c>
      <c r="L425" s="12">
        <v>0.93</v>
      </c>
      <c r="M425" s="12">
        <f t="shared" si="2"/>
        <v>0.93</v>
      </c>
      <c r="N425" s="8" t="s">
        <v>794</v>
      </c>
      <c r="O425" s="13">
        <f>vlookup(N425,Interview_Slots!$A$1:$D$5,3,false)</f>
        <v>75</v>
      </c>
      <c r="P425" s="13">
        <f>vlookup(N425,Interview_Slots!$A$1:$D$5,4,false)</f>
        <v>85</v>
      </c>
      <c r="Q425" s="13" t="str">
        <f t="shared" si="3"/>
        <v>Eligible</v>
      </c>
      <c r="R425" s="7" t="s">
        <v>22</v>
      </c>
    </row>
    <row r="426" ht="15.75" customHeight="1">
      <c r="A426" s="8" t="s">
        <v>846</v>
      </c>
      <c r="B426" s="8" t="s">
        <v>847</v>
      </c>
      <c r="C426" s="8" t="s">
        <v>20</v>
      </c>
      <c r="D426" s="9" t="str">
        <f>vlookup(C426,Dept_Lookup!A$1:B$17,2,false)</f>
        <v>Electronics</v>
      </c>
      <c r="E426" s="14">
        <v>45929.0</v>
      </c>
      <c r="F426" s="10">
        <f t="shared" si="4"/>
        <v>45929</v>
      </c>
      <c r="G426" s="8">
        <v>60.0</v>
      </c>
      <c r="H426" s="8">
        <v>84.0</v>
      </c>
      <c r="I426" s="8">
        <v>90.0</v>
      </c>
      <c r="J426" s="11">
        <f>G426*Scoring_Weights!B$2+H426*Scoring_Weights!B$3+I426*Scoring_Weights!B$4</f>
        <v>83.4</v>
      </c>
      <c r="K426" s="12">
        <v>0.94</v>
      </c>
      <c r="L426" s="8">
        <v>0.79</v>
      </c>
      <c r="M426" s="12">
        <f t="shared" si="2"/>
        <v>0.79</v>
      </c>
      <c r="N426" s="8" t="s">
        <v>794</v>
      </c>
      <c r="O426" s="13">
        <f>vlookup(N426,Interview_Slots!$A$1:$D$5,3,false)</f>
        <v>75</v>
      </c>
      <c r="P426" s="13">
        <f>vlookup(N426,Interview_Slots!$A$1:$D$5,4,false)</f>
        <v>85</v>
      </c>
      <c r="Q426" s="13" t="str">
        <f t="shared" si="3"/>
        <v>Eligible</v>
      </c>
      <c r="R426" s="7" t="s">
        <v>22</v>
      </c>
    </row>
    <row r="427" ht="15.75" hidden="1" customHeight="1">
      <c r="A427" s="8" t="s">
        <v>848</v>
      </c>
      <c r="B427" s="8" t="s">
        <v>849</v>
      </c>
      <c r="C427" s="8" t="s">
        <v>57</v>
      </c>
      <c r="D427" s="9" t="str">
        <f>vlookup(C427,Dept_Lookup!A$1:B$17,2,false)</f>
        <v>Computer Science</v>
      </c>
      <c r="E427" s="14">
        <v>45929.0</v>
      </c>
      <c r="F427" s="10">
        <f t="shared" si="4"/>
        <v>45929</v>
      </c>
      <c r="G427" s="8">
        <v>89.0</v>
      </c>
      <c r="H427" s="8">
        <v>85.0</v>
      </c>
      <c r="I427" s="8">
        <v>80.0</v>
      </c>
      <c r="J427" s="11">
        <f>G427*Scoring_Weights!B$2+H427*Scoring_Weights!B$3+I427*Scoring_Weights!B$4</f>
        <v>83.1</v>
      </c>
      <c r="K427" s="12">
        <v>0.83</v>
      </c>
      <c r="L427" s="8">
        <v>0.78</v>
      </c>
      <c r="M427" s="12">
        <f t="shared" si="2"/>
        <v>0.78</v>
      </c>
      <c r="N427" s="8" t="s">
        <v>794</v>
      </c>
      <c r="O427" s="13">
        <f>vlookup(N427,Interview_Slots!$A$1:$D$5,3,false)</f>
        <v>75</v>
      </c>
      <c r="P427" s="13">
        <f>vlookup(N427,Interview_Slots!$A$1:$D$5,4,false)</f>
        <v>85</v>
      </c>
      <c r="Q427" s="13" t="str">
        <f t="shared" si="3"/>
        <v>Not Eligible</v>
      </c>
    </row>
    <row r="428" ht="15.75" customHeight="1">
      <c r="A428" s="8" t="s">
        <v>850</v>
      </c>
      <c r="B428" s="8" t="s">
        <v>851</v>
      </c>
      <c r="C428" s="8" t="s">
        <v>20</v>
      </c>
      <c r="D428" s="9" t="str">
        <f>vlookup(C428,Dept_Lookup!A$1:B$17,2,false)</f>
        <v>Electronics</v>
      </c>
      <c r="E428" s="14">
        <v>45877.0</v>
      </c>
      <c r="F428" s="10">
        <f t="shared" si="4"/>
        <v>45877</v>
      </c>
      <c r="G428" s="8">
        <v>75.0</v>
      </c>
      <c r="H428" s="8">
        <v>98.0</v>
      </c>
      <c r="I428" s="8">
        <v>75.0</v>
      </c>
      <c r="J428" s="11">
        <f>G428*Scoring_Weights!B$2+H428*Scoring_Weights!B$3+I428*Scoring_Weights!B$4</f>
        <v>83.05</v>
      </c>
      <c r="K428" s="12">
        <v>0.92</v>
      </c>
      <c r="L428" s="8">
        <v>0.87</v>
      </c>
      <c r="M428" s="12">
        <f t="shared" si="2"/>
        <v>0.87</v>
      </c>
      <c r="N428" s="8" t="s">
        <v>794</v>
      </c>
      <c r="O428" s="13">
        <f>vlookup(N428,Interview_Slots!$A$1:$D$5,3,false)</f>
        <v>75</v>
      </c>
      <c r="P428" s="13">
        <f>vlookup(N428,Interview_Slots!$A$1:$D$5,4,false)</f>
        <v>85</v>
      </c>
      <c r="Q428" s="13" t="str">
        <f t="shared" si="3"/>
        <v>Eligible</v>
      </c>
      <c r="R428" s="7" t="s">
        <v>22</v>
      </c>
    </row>
    <row r="429" ht="15.75" customHeight="1">
      <c r="A429" s="8" t="s">
        <v>852</v>
      </c>
      <c r="B429" s="8" t="s">
        <v>853</v>
      </c>
      <c r="C429" s="8" t="s">
        <v>35</v>
      </c>
      <c r="D429" s="9" t="str">
        <f>vlookup(C429,Dept_Lookup!A$1:B$17,2,false)</f>
        <v>Electronics</v>
      </c>
      <c r="E429" s="14">
        <v>45868.0</v>
      </c>
      <c r="F429" s="10">
        <f t="shared" si="4"/>
        <v>45868</v>
      </c>
      <c r="G429" s="8">
        <v>93.0</v>
      </c>
      <c r="H429" s="8">
        <v>76.0</v>
      </c>
      <c r="I429" s="8">
        <v>85.0</v>
      </c>
      <c r="J429" s="11">
        <f>G429*Scoring_Weights!B$2+H429*Scoring_Weights!B$3+I429*Scoring_Weights!B$4</f>
        <v>83.05</v>
      </c>
      <c r="K429" s="12">
        <v>0.91</v>
      </c>
      <c r="L429" s="8">
        <v>0.8</v>
      </c>
      <c r="M429" s="12">
        <f t="shared" si="2"/>
        <v>0.8</v>
      </c>
      <c r="N429" s="8" t="s">
        <v>794</v>
      </c>
      <c r="O429" s="13">
        <f>vlookup(N429,Interview_Slots!$A$1:$D$5,3,false)</f>
        <v>75</v>
      </c>
      <c r="P429" s="13">
        <f>vlookup(N429,Interview_Slots!$A$1:$D$5,4,false)</f>
        <v>85</v>
      </c>
      <c r="Q429" s="13" t="str">
        <f t="shared" si="3"/>
        <v>Eligible</v>
      </c>
      <c r="R429" s="7" t="s">
        <v>22</v>
      </c>
    </row>
    <row r="430" ht="15.75" hidden="1" customHeight="1">
      <c r="A430" s="8" t="s">
        <v>854</v>
      </c>
      <c r="B430" s="8" t="s">
        <v>855</v>
      </c>
      <c r="C430" s="8" t="s">
        <v>50</v>
      </c>
      <c r="D430" s="9" t="str">
        <f>vlookup(C430,Dept_Lookup!A$1:B$17,2,false)</f>
        <v>Electronics</v>
      </c>
      <c r="E430" s="9">
        <v>45860.0</v>
      </c>
      <c r="F430" s="10">
        <f t="shared" si="4"/>
        <v>45860</v>
      </c>
      <c r="G430" s="8">
        <v>57.0</v>
      </c>
      <c r="H430" s="8">
        <v>74.0</v>
      </c>
      <c r="I430" s="8">
        <v>97.0</v>
      </c>
      <c r="J430" s="11">
        <f>G430*Scoring_Weights!B$2+H430*Scoring_Weights!B$3+I430*Scoring_Weights!B$4</f>
        <v>82.95</v>
      </c>
      <c r="K430" s="12">
        <v>0.79</v>
      </c>
      <c r="L430" s="8">
        <v>0.8</v>
      </c>
      <c r="M430" s="12">
        <f t="shared" si="2"/>
        <v>0.8</v>
      </c>
      <c r="N430" s="8" t="s">
        <v>794</v>
      </c>
      <c r="O430" s="13">
        <f>vlookup(N430,Interview_Slots!$A$1:$D$5,3,false)</f>
        <v>75</v>
      </c>
      <c r="P430" s="13">
        <f>vlookup(N430,Interview_Slots!$A$1:$D$5,4,false)</f>
        <v>85</v>
      </c>
      <c r="Q430" s="13" t="str">
        <f t="shared" si="3"/>
        <v>Not Eligible</v>
      </c>
    </row>
    <row r="431" ht="15.75" hidden="1" customHeight="1">
      <c r="A431" s="8" t="s">
        <v>856</v>
      </c>
      <c r="B431" s="8" t="s">
        <v>647</v>
      </c>
      <c r="C431" s="8" t="s">
        <v>28</v>
      </c>
      <c r="D431" s="9" t="str">
        <f>vlookup(C431,Dept_Lookup!A$1:B$17,2,false)</f>
        <v>Electronics</v>
      </c>
      <c r="E431" s="14">
        <v>45842.0</v>
      </c>
      <c r="F431" s="10">
        <f t="shared" si="4"/>
        <v>45842</v>
      </c>
      <c r="G431" s="8">
        <v>87.0</v>
      </c>
      <c r="H431" s="8">
        <v>66.0</v>
      </c>
      <c r="I431" s="8">
        <v>93.0</v>
      </c>
      <c r="J431" s="11">
        <f>G431*Scoring_Weights!B$2+H431*Scoring_Weights!B$3+I431*Scoring_Weights!B$4</f>
        <v>82.65</v>
      </c>
      <c r="K431" s="12">
        <v>0.84</v>
      </c>
      <c r="L431" s="8">
        <v>0.94</v>
      </c>
      <c r="M431" s="12">
        <f t="shared" si="2"/>
        <v>0.94</v>
      </c>
      <c r="N431" s="8" t="s">
        <v>794</v>
      </c>
      <c r="O431" s="13">
        <f>vlookup(N431,Interview_Slots!$A$1:$D$5,3,false)</f>
        <v>75</v>
      </c>
      <c r="P431" s="13">
        <f>vlookup(N431,Interview_Slots!$A$1:$D$5,4,false)</f>
        <v>85</v>
      </c>
      <c r="Q431" s="13" t="str">
        <f t="shared" si="3"/>
        <v>Not Eligible</v>
      </c>
    </row>
    <row r="432" ht="15.75" hidden="1" customHeight="1">
      <c r="A432" s="8" t="s">
        <v>857</v>
      </c>
      <c r="B432" s="8" t="s">
        <v>858</v>
      </c>
      <c r="C432" s="8" t="s">
        <v>83</v>
      </c>
      <c r="D432" s="9" t="str">
        <f>vlookup(C432,Dept_Lookup!A$1:B$17,2,false)</f>
        <v>Civil</v>
      </c>
      <c r="E432" s="14">
        <v>45913.0</v>
      </c>
      <c r="F432" s="10">
        <f t="shared" si="4"/>
        <v>45913</v>
      </c>
      <c r="G432" s="8">
        <v>93.0</v>
      </c>
      <c r="H432" s="8">
        <v>60.0</v>
      </c>
      <c r="I432" s="8">
        <v>95.0</v>
      </c>
      <c r="J432" s="11">
        <f>G432*Scoring_Weights!B$2+H432*Scoring_Weights!B$3+I432*Scoring_Weights!B$4</f>
        <v>82.45</v>
      </c>
      <c r="K432" s="12">
        <v>0.75</v>
      </c>
      <c r="L432" s="8">
        <v>0.75</v>
      </c>
      <c r="M432" s="12">
        <f t="shared" si="2"/>
        <v>0.75</v>
      </c>
      <c r="N432" s="8" t="s">
        <v>794</v>
      </c>
      <c r="O432" s="13">
        <f>vlookup(N432,Interview_Slots!$A$1:$D$5,3,false)</f>
        <v>75</v>
      </c>
      <c r="P432" s="13">
        <f>vlookup(N432,Interview_Slots!$A$1:$D$5,4,false)</f>
        <v>85</v>
      </c>
      <c r="Q432" s="13" t="str">
        <f t="shared" si="3"/>
        <v>Not Eligible</v>
      </c>
    </row>
    <row r="433" ht="15.75" hidden="1" customHeight="1">
      <c r="A433" s="8" t="s">
        <v>859</v>
      </c>
      <c r="B433" s="8" t="s">
        <v>860</v>
      </c>
      <c r="C433" s="8" t="s">
        <v>102</v>
      </c>
      <c r="D433" s="9" t="str">
        <f>vlookup(C433,Dept_Lookup!A$1:B$17,2,false)</f>
        <v>Computer Science</v>
      </c>
      <c r="E433" s="14">
        <v>45880.0</v>
      </c>
      <c r="F433" s="10">
        <f t="shared" si="4"/>
        <v>45880</v>
      </c>
      <c r="G433" s="8">
        <v>93.0</v>
      </c>
      <c r="H433" s="8">
        <v>71.0</v>
      </c>
      <c r="I433" s="8">
        <v>87.0</v>
      </c>
      <c r="J433" s="11">
        <f>G433*Scoring_Weights!B$2+H433*Scoring_Weights!B$3+I433*Scoring_Weights!B$4</f>
        <v>82.3</v>
      </c>
      <c r="K433" s="12">
        <v>0.77</v>
      </c>
      <c r="L433" s="8">
        <v>0.78</v>
      </c>
      <c r="M433" s="12">
        <f t="shared" si="2"/>
        <v>0.78</v>
      </c>
      <c r="N433" s="8" t="s">
        <v>794</v>
      </c>
      <c r="O433" s="13">
        <f>vlookup(N433,Interview_Slots!$A$1:$D$5,3,false)</f>
        <v>75</v>
      </c>
      <c r="P433" s="13">
        <f>vlookup(N433,Interview_Slots!$A$1:$D$5,4,false)</f>
        <v>85</v>
      </c>
      <c r="Q433" s="13" t="str">
        <f t="shared" si="3"/>
        <v>Not Eligible</v>
      </c>
    </row>
    <row r="434" ht="15.75" hidden="1" customHeight="1">
      <c r="A434" s="8" t="s">
        <v>861</v>
      </c>
      <c r="B434" s="8" t="s">
        <v>862</v>
      </c>
      <c r="C434" s="8" t="s">
        <v>20</v>
      </c>
      <c r="D434" s="9" t="str">
        <f>vlookup(C434,Dept_Lookup!A$1:B$17,2,false)</f>
        <v>Electronics</v>
      </c>
      <c r="E434" s="9">
        <v>45860.0</v>
      </c>
      <c r="F434" s="10">
        <f t="shared" si="4"/>
        <v>45860</v>
      </c>
      <c r="G434" s="8">
        <v>80.0</v>
      </c>
      <c r="H434" s="8">
        <v>63.0</v>
      </c>
      <c r="I434" s="8">
        <v>96.0</v>
      </c>
      <c r="J434" s="11">
        <f>G434*Scoring_Weights!B$2+H434*Scoring_Weights!B$3+I434*Scoring_Weights!B$4</f>
        <v>82.05</v>
      </c>
      <c r="K434" s="12">
        <v>0.72</v>
      </c>
      <c r="L434" s="15">
        <v>0.86</v>
      </c>
      <c r="M434" s="12">
        <f t="shared" si="2"/>
        <v>0.86</v>
      </c>
      <c r="N434" s="8" t="s">
        <v>794</v>
      </c>
      <c r="O434" s="13">
        <f>vlookup(N434,Interview_Slots!$A$1:$D$5,3,false)</f>
        <v>75</v>
      </c>
      <c r="P434" s="13">
        <f>vlookup(N434,Interview_Slots!$A$1:$D$5,4,false)</f>
        <v>85</v>
      </c>
      <c r="Q434" s="13" t="str">
        <f t="shared" si="3"/>
        <v>Not Eligible</v>
      </c>
    </row>
    <row r="435" ht="15.75" hidden="1" customHeight="1">
      <c r="A435" s="8" t="s">
        <v>863</v>
      </c>
      <c r="B435" s="8" t="s">
        <v>864</v>
      </c>
      <c r="C435" s="8" t="s">
        <v>57</v>
      </c>
      <c r="D435" s="9" t="str">
        <f>vlookup(C435,Dept_Lookup!A$1:B$17,2,false)</f>
        <v>Computer Science</v>
      </c>
      <c r="E435" s="9">
        <v>45866.0</v>
      </c>
      <c r="F435" s="10">
        <f t="shared" si="4"/>
        <v>45866</v>
      </c>
      <c r="G435" s="8">
        <v>60.0</v>
      </c>
      <c r="H435" s="8">
        <v>70.0</v>
      </c>
      <c r="I435" s="8">
        <v>97.0</v>
      </c>
      <c r="J435" s="11">
        <f>G435*Scoring_Weights!B$2+H435*Scoring_Weights!B$3+I435*Scoring_Weights!B$4</f>
        <v>82</v>
      </c>
      <c r="K435" s="12">
        <v>0.84</v>
      </c>
      <c r="L435" s="8">
        <v>0.78</v>
      </c>
      <c r="M435" s="12">
        <f t="shared" si="2"/>
        <v>0.78</v>
      </c>
      <c r="N435" s="8" t="s">
        <v>794</v>
      </c>
      <c r="O435" s="13">
        <f>vlookup(N435,Interview_Slots!$A$1:$D$5,3,false)</f>
        <v>75</v>
      </c>
      <c r="P435" s="13">
        <f>vlookup(N435,Interview_Slots!$A$1:$D$5,4,false)</f>
        <v>85</v>
      </c>
      <c r="Q435" s="13" t="str">
        <f t="shared" si="3"/>
        <v>Not Eligible</v>
      </c>
    </row>
    <row r="436" ht="15.75" customHeight="1">
      <c r="A436" s="8" t="s">
        <v>865</v>
      </c>
      <c r="B436" s="8" t="s">
        <v>866</v>
      </c>
      <c r="C436" s="8" t="s">
        <v>105</v>
      </c>
      <c r="D436" s="9" t="str">
        <f>vlookup(C436,Dept_Lookup!A$1:B$17,2,false)</f>
        <v>Civil</v>
      </c>
      <c r="E436" s="14">
        <v>45900.0</v>
      </c>
      <c r="F436" s="10">
        <f t="shared" si="4"/>
        <v>45900</v>
      </c>
      <c r="G436" s="8">
        <v>58.0</v>
      </c>
      <c r="H436" s="8">
        <v>95.0</v>
      </c>
      <c r="I436" s="8">
        <v>79.0</v>
      </c>
      <c r="J436" s="11">
        <f>G436*Scoring_Weights!B$2+H436*Scoring_Weights!B$3+I436*Scoring_Weights!B$4</f>
        <v>81.45</v>
      </c>
      <c r="K436" s="12">
        <v>0.85</v>
      </c>
      <c r="L436" s="8">
        <v>0.84</v>
      </c>
      <c r="M436" s="12">
        <f t="shared" si="2"/>
        <v>0.84</v>
      </c>
      <c r="N436" s="8" t="s">
        <v>794</v>
      </c>
      <c r="O436" s="13">
        <f>vlookup(N436,Interview_Slots!$A$1:$D$5,3,false)</f>
        <v>75</v>
      </c>
      <c r="P436" s="13">
        <f>vlookup(N436,Interview_Slots!$A$1:$D$5,4,false)</f>
        <v>85</v>
      </c>
      <c r="Q436" s="13" t="str">
        <f t="shared" si="3"/>
        <v>Eligible</v>
      </c>
      <c r="R436" s="7" t="s">
        <v>22</v>
      </c>
    </row>
    <row r="437" ht="15.75" customHeight="1">
      <c r="A437" s="8" t="s">
        <v>867</v>
      </c>
      <c r="B437" s="8" t="s">
        <v>212</v>
      </c>
      <c r="C437" s="8" t="s">
        <v>41</v>
      </c>
      <c r="D437" s="9" t="str">
        <f>vlookup(C437,Dept_Lookup!A$1:B$17,2,false)</f>
        <v>Mechanical</v>
      </c>
      <c r="E437" s="14">
        <v>45872.0</v>
      </c>
      <c r="F437" s="10">
        <f t="shared" si="4"/>
        <v>45872</v>
      </c>
      <c r="G437" s="8">
        <v>77.0</v>
      </c>
      <c r="H437" s="8">
        <v>84.0</v>
      </c>
      <c r="I437" s="8">
        <v>81.0</v>
      </c>
      <c r="J437" s="11">
        <f>G437*Scoring_Weights!B$2+H437*Scoring_Weights!B$3+I437*Scoring_Weights!B$4</f>
        <v>81.45</v>
      </c>
      <c r="K437" s="12">
        <v>0.85</v>
      </c>
      <c r="L437" s="8">
        <v>0.83</v>
      </c>
      <c r="M437" s="12">
        <f t="shared" si="2"/>
        <v>0.83</v>
      </c>
      <c r="N437" s="8" t="s">
        <v>794</v>
      </c>
      <c r="O437" s="13">
        <f>vlookup(N437,Interview_Slots!$A$1:$D$5,3,false)</f>
        <v>75</v>
      </c>
      <c r="P437" s="13">
        <f>vlookup(N437,Interview_Slots!$A$1:$D$5,4,false)</f>
        <v>85</v>
      </c>
      <c r="Q437" s="13" t="str">
        <f t="shared" si="3"/>
        <v>Eligible</v>
      </c>
      <c r="R437" s="7" t="s">
        <v>22</v>
      </c>
    </row>
    <row r="438" ht="15.75" hidden="1" customHeight="1">
      <c r="A438" s="8" t="s">
        <v>868</v>
      </c>
      <c r="B438" s="8" t="s">
        <v>869</v>
      </c>
      <c r="C438" s="8" t="s">
        <v>25</v>
      </c>
      <c r="D438" s="9" t="str">
        <f>vlookup(C438,Dept_Lookup!A$1:B$17,2,false)</f>
        <v>Computer Science</v>
      </c>
      <c r="E438" s="14">
        <v>45865.0</v>
      </c>
      <c r="F438" s="10">
        <f t="shared" si="4"/>
        <v>45865</v>
      </c>
      <c r="G438" s="8">
        <v>91.0</v>
      </c>
      <c r="H438" s="8">
        <v>89.0</v>
      </c>
      <c r="I438" s="8">
        <v>73.0</v>
      </c>
      <c r="J438" s="11">
        <f>G438*Scoring_Weights!B$2+H438*Scoring_Weights!B$3+I438*Scoring_Weights!B$4</f>
        <v>81.3</v>
      </c>
      <c r="K438" s="12">
        <v>0.77</v>
      </c>
      <c r="L438" s="8">
        <v>0.97</v>
      </c>
      <c r="M438" s="12">
        <f t="shared" si="2"/>
        <v>0.97</v>
      </c>
      <c r="N438" s="8" t="s">
        <v>794</v>
      </c>
      <c r="O438" s="13">
        <f>vlookup(N438,Interview_Slots!$A$1:$D$5,3,false)</f>
        <v>75</v>
      </c>
      <c r="P438" s="13">
        <f>vlookup(N438,Interview_Slots!$A$1:$D$5,4,false)</f>
        <v>85</v>
      </c>
      <c r="Q438" s="13" t="str">
        <f t="shared" si="3"/>
        <v>Not Eligible</v>
      </c>
    </row>
    <row r="439" ht="15.75" customHeight="1">
      <c r="A439" s="8" t="s">
        <v>870</v>
      </c>
      <c r="B439" s="8" t="s">
        <v>871</v>
      </c>
      <c r="C439" s="8" t="s">
        <v>72</v>
      </c>
      <c r="D439" s="9" t="str">
        <f>vlookup(C439,Dept_Lookup!A$1:B$17,2,false)</f>
        <v>Mechanical</v>
      </c>
      <c r="E439" s="14">
        <v>45865.0</v>
      </c>
      <c r="F439" s="10">
        <f t="shared" si="4"/>
        <v>45865</v>
      </c>
      <c r="G439" s="8">
        <v>81.0</v>
      </c>
      <c r="H439" s="8">
        <v>90.0</v>
      </c>
      <c r="I439" s="8">
        <v>75.0</v>
      </c>
      <c r="J439" s="11">
        <f>G439*Scoring_Weights!B$2+H439*Scoring_Weights!B$3+I439*Scoring_Weights!B$4</f>
        <v>81.15</v>
      </c>
      <c r="K439" s="12">
        <v>0.9</v>
      </c>
      <c r="L439" s="8">
        <v>0.85</v>
      </c>
      <c r="M439" s="12">
        <f t="shared" si="2"/>
        <v>0.85</v>
      </c>
      <c r="N439" s="8" t="s">
        <v>794</v>
      </c>
      <c r="O439" s="13">
        <f>vlookup(N439,Interview_Slots!$A$1:$D$5,3,false)</f>
        <v>75</v>
      </c>
      <c r="P439" s="13">
        <f>vlookup(N439,Interview_Slots!$A$1:$D$5,4,false)</f>
        <v>85</v>
      </c>
      <c r="Q439" s="13" t="str">
        <f t="shared" si="3"/>
        <v>Eligible</v>
      </c>
      <c r="R439" s="7" t="s">
        <v>22</v>
      </c>
    </row>
    <row r="440" ht="15.75" customHeight="1">
      <c r="A440" s="8" t="s">
        <v>872</v>
      </c>
      <c r="B440" s="8" t="s">
        <v>873</v>
      </c>
      <c r="C440" s="8" t="s">
        <v>105</v>
      </c>
      <c r="D440" s="9" t="str">
        <f>vlookup(C440,Dept_Lookup!A$1:B$17,2,false)</f>
        <v>Civil</v>
      </c>
      <c r="E440" s="14">
        <v>45870.0</v>
      </c>
      <c r="F440" s="10">
        <f t="shared" si="4"/>
        <v>45870</v>
      </c>
      <c r="G440" s="8">
        <v>74.0</v>
      </c>
      <c r="H440" s="8">
        <v>84.0</v>
      </c>
      <c r="I440" s="8">
        <v>81.0</v>
      </c>
      <c r="J440" s="11">
        <f>G440*Scoring_Weights!B$2+H440*Scoring_Weights!B$3+I440*Scoring_Weights!B$4</f>
        <v>81</v>
      </c>
      <c r="K440" s="12">
        <v>0.94</v>
      </c>
      <c r="L440" s="8">
        <v>0.86</v>
      </c>
      <c r="M440" s="12">
        <f t="shared" si="2"/>
        <v>0.86</v>
      </c>
      <c r="N440" s="8" t="s">
        <v>794</v>
      </c>
      <c r="O440" s="13">
        <f>vlookup(N440,Interview_Slots!$A$1:$D$5,3,false)</f>
        <v>75</v>
      </c>
      <c r="P440" s="13">
        <f>vlookup(N440,Interview_Slots!$A$1:$D$5,4,false)</f>
        <v>85</v>
      </c>
      <c r="Q440" s="13" t="str">
        <f t="shared" si="3"/>
        <v>Eligible</v>
      </c>
      <c r="R440" s="7" t="s">
        <v>22</v>
      </c>
    </row>
    <row r="441" ht="15.75" hidden="1" customHeight="1">
      <c r="A441" s="8" t="s">
        <v>874</v>
      </c>
      <c r="B441" s="8" t="s">
        <v>875</v>
      </c>
      <c r="C441" s="8" t="s">
        <v>57</v>
      </c>
      <c r="D441" s="9" t="str">
        <f>vlookup(C441,Dept_Lookup!A$1:B$17,2,false)</f>
        <v>Computer Science</v>
      </c>
      <c r="E441" s="9">
        <v>45878.0</v>
      </c>
      <c r="F441" s="10">
        <f t="shared" si="4"/>
        <v>45878</v>
      </c>
      <c r="G441" s="8">
        <v>63.0</v>
      </c>
      <c r="H441" s="8">
        <v>87.0</v>
      </c>
      <c r="I441" s="8">
        <v>82.0</v>
      </c>
      <c r="J441" s="11">
        <f>G441*Scoring_Weights!B$2+H441*Scoring_Weights!B$3+I441*Scoring_Weights!B$4</f>
        <v>80.9</v>
      </c>
      <c r="K441" s="12">
        <v>0.8</v>
      </c>
      <c r="L441" s="8">
        <v>0.91</v>
      </c>
      <c r="M441" s="12">
        <f t="shared" si="2"/>
        <v>0.91</v>
      </c>
      <c r="N441" s="8" t="s">
        <v>794</v>
      </c>
      <c r="O441" s="13">
        <f>vlookup(N441,Interview_Slots!$A$1:$D$5,3,false)</f>
        <v>75</v>
      </c>
      <c r="P441" s="13">
        <f>vlookup(N441,Interview_Slots!$A$1:$D$5,4,false)</f>
        <v>85</v>
      </c>
      <c r="Q441" s="13" t="str">
        <f t="shared" si="3"/>
        <v>Not Eligible</v>
      </c>
    </row>
    <row r="442" ht="15.75" customHeight="1">
      <c r="A442" s="8" t="s">
        <v>876</v>
      </c>
      <c r="B442" s="8" t="s">
        <v>877</v>
      </c>
      <c r="C442" s="8" t="s">
        <v>38</v>
      </c>
      <c r="D442" s="9" t="str">
        <f>vlookup(C442,Dept_Lookup!A$1:B$17,2,false)</f>
        <v>Mechanical</v>
      </c>
      <c r="E442" s="14">
        <v>45913.0</v>
      </c>
      <c r="F442" s="10">
        <f t="shared" si="4"/>
        <v>45913</v>
      </c>
      <c r="G442" s="8">
        <v>74.0</v>
      </c>
      <c r="H442" s="8">
        <v>62.0</v>
      </c>
      <c r="I442" s="8">
        <v>96.0</v>
      </c>
      <c r="J442" s="11">
        <f>G442*Scoring_Weights!B$2+H442*Scoring_Weights!B$3+I442*Scoring_Weights!B$4</f>
        <v>80.8</v>
      </c>
      <c r="K442" s="12">
        <v>0.92</v>
      </c>
      <c r="L442" s="15">
        <v>0.73</v>
      </c>
      <c r="M442" s="12">
        <f t="shared" si="2"/>
        <v>0.73</v>
      </c>
      <c r="N442" s="8" t="s">
        <v>794</v>
      </c>
      <c r="O442" s="13">
        <f>vlookup(N442,Interview_Slots!$A$1:$D$5,3,false)</f>
        <v>75</v>
      </c>
      <c r="P442" s="13">
        <f>vlookup(N442,Interview_Slots!$A$1:$D$5,4,false)</f>
        <v>85</v>
      </c>
      <c r="Q442" s="13" t="str">
        <f t="shared" si="3"/>
        <v>Eligible</v>
      </c>
      <c r="R442" s="7" t="s">
        <v>22</v>
      </c>
    </row>
    <row r="443" ht="15.75" customHeight="1">
      <c r="A443" s="8" t="s">
        <v>878</v>
      </c>
      <c r="B443" s="8" t="s">
        <v>879</v>
      </c>
      <c r="C443" s="8" t="s">
        <v>108</v>
      </c>
      <c r="D443" s="9" t="str">
        <f>vlookup(C443,Dept_Lookup!A$1:B$17,2,false)</f>
        <v>Civil</v>
      </c>
      <c r="E443" s="14">
        <v>45877.0</v>
      </c>
      <c r="F443" s="10">
        <f t="shared" si="4"/>
        <v>45877</v>
      </c>
      <c r="G443" s="8">
        <v>95.0</v>
      </c>
      <c r="H443" s="8">
        <v>95.0</v>
      </c>
      <c r="I443" s="8">
        <v>65.0</v>
      </c>
      <c r="J443" s="11">
        <f>G443*Scoring_Weights!B$2+H443*Scoring_Weights!B$3+I443*Scoring_Weights!B$4</f>
        <v>80</v>
      </c>
      <c r="K443" s="12">
        <v>0.9</v>
      </c>
      <c r="L443" s="15">
        <v>0.73</v>
      </c>
      <c r="M443" s="12">
        <f t="shared" si="2"/>
        <v>0.73</v>
      </c>
      <c r="N443" s="8" t="s">
        <v>794</v>
      </c>
      <c r="O443" s="13">
        <f>vlookup(N443,Interview_Slots!$A$1:$D$5,3,false)</f>
        <v>75</v>
      </c>
      <c r="P443" s="13">
        <f>vlookup(N443,Interview_Slots!$A$1:$D$5,4,false)</f>
        <v>85</v>
      </c>
      <c r="Q443" s="13" t="str">
        <f t="shared" si="3"/>
        <v>Eligible</v>
      </c>
      <c r="R443" s="7" t="s">
        <v>22</v>
      </c>
    </row>
    <row r="444" ht="15.75" customHeight="1">
      <c r="B444" s="8" t="s">
        <v>880</v>
      </c>
      <c r="C444" s="8" t="s">
        <v>38</v>
      </c>
      <c r="D444" s="9" t="str">
        <f>vlookup(C444,Dept_Lookup!A$1:B$17,2,false)</f>
        <v>Mechanical</v>
      </c>
      <c r="E444" s="14">
        <v>45900.0</v>
      </c>
      <c r="F444" s="10">
        <f t="shared" si="4"/>
        <v>45900</v>
      </c>
      <c r="G444" s="8">
        <v>88.0</v>
      </c>
      <c r="H444" s="8">
        <v>88.0</v>
      </c>
      <c r="I444" s="8">
        <v>71.0</v>
      </c>
      <c r="J444" s="11">
        <f>G444*Scoring_Weights!B$2+H444*Scoring_Weights!B$3+I444*Scoring_Weights!B$4</f>
        <v>79.5</v>
      </c>
      <c r="K444" s="12">
        <v>0.88</v>
      </c>
      <c r="L444" s="8">
        <v>0.94</v>
      </c>
      <c r="M444" s="12">
        <f t="shared" si="2"/>
        <v>0.94</v>
      </c>
      <c r="N444" s="8" t="s">
        <v>794</v>
      </c>
      <c r="O444" s="13">
        <f>vlookup(N444,Interview_Slots!$A$1:$D$5,3,false)</f>
        <v>75</v>
      </c>
      <c r="P444" s="13">
        <f>vlookup(N444,Interview_Slots!$A$1:$D$5,4,false)</f>
        <v>85</v>
      </c>
      <c r="Q444" s="13" t="str">
        <f t="shared" si="3"/>
        <v>Eligible</v>
      </c>
      <c r="R444" s="7" t="s">
        <v>22</v>
      </c>
    </row>
    <row r="445" ht="15.75" customHeight="1">
      <c r="A445" s="8" t="s">
        <v>881</v>
      </c>
      <c r="B445" s="8" t="s">
        <v>882</v>
      </c>
      <c r="C445" s="8" t="s">
        <v>50</v>
      </c>
      <c r="D445" s="9" t="str">
        <f>vlookup(C445,Dept_Lookup!A$1:B$17,2,false)</f>
        <v>Electronics</v>
      </c>
      <c r="E445" s="9">
        <v>45895.0</v>
      </c>
      <c r="F445" s="10">
        <f t="shared" si="4"/>
        <v>45895</v>
      </c>
      <c r="G445" s="8">
        <v>76.0</v>
      </c>
      <c r="H445" s="8">
        <v>86.0</v>
      </c>
      <c r="I445" s="8">
        <v>76.0</v>
      </c>
      <c r="J445" s="11">
        <f>G445*Scoring_Weights!B$2+H445*Scoring_Weights!B$3+I445*Scoring_Weights!B$4</f>
        <v>79.5</v>
      </c>
      <c r="K445" s="12">
        <v>0.85</v>
      </c>
      <c r="L445" s="8">
        <v>0.75</v>
      </c>
      <c r="M445" s="12">
        <f t="shared" si="2"/>
        <v>0.75</v>
      </c>
      <c r="N445" s="8" t="s">
        <v>794</v>
      </c>
      <c r="O445" s="13">
        <f>vlookup(N445,Interview_Slots!$A$1:$D$5,3,false)</f>
        <v>75</v>
      </c>
      <c r="P445" s="13">
        <f>vlookup(N445,Interview_Slots!$A$1:$D$5,4,false)</f>
        <v>85</v>
      </c>
      <c r="Q445" s="13" t="str">
        <f t="shared" si="3"/>
        <v>Eligible</v>
      </c>
      <c r="R445" s="7" t="s">
        <v>162</v>
      </c>
    </row>
    <row r="446" ht="15.75" customHeight="1">
      <c r="A446" s="8" t="s">
        <v>883</v>
      </c>
      <c r="B446" s="8" t="s">
        <v>884</v>
      </c>
      <c r="C446" s="8" t="s">
        <v>57</v>
      </c>
      <c r="D446" s="9" t="str">
        <f>vlookup(C446,Dept_Lookup!A$1:B$17,2,false)</f>
        <v>Computer Science</v>
      </c>
      <c r="E446" s="14">
        <v>45913.0</v>
      </c>
      <c r="F446" s="10">
        <f t="shared" si="4"/>
        <v>45913</v>
      </c>
      <c r="G446" s="8">
        <v>68.0</v>
      </c>
      <c r="H446" s="8">
        <v>75.0</v>
      </c>
      <c r="I446" s="8">
        <v>86.0</v>
      </c>
      <c r="J446" s="11">
        <f>G446*Scoring_Weights!B$2+H446*Scoring_Weights!B$3+I446*Scoring_Weights!B$4</f>
        <v>79.45</v>
      </c>
      <c r="K446" s="12">
        <v>0.89</v>
      </c>
      <c r="L446" s="12">
        <v>0.82</v>
      </c>
      <c r="M446" s="12">
        <f t="shared" si="2"/>
        <v>0.82</v>
      </c>
      <c r="N446" s="8" t="s">
        <v>794</v>
      </c>
      <c r="O446" s="13">
        <f>vlookup(N446,Interview_Slots!$A$1:$D$5,3,false)</f>
        <v>75</v>
      </c>
      <c r="P446" s="13">
        <f>vlookup(N446,Interview_Slots!$A$1:$D$5,4,false)</f>
        <v>85</v>
      </c>
      <c r="Q446" s="13" t="str">
        <f t="shared" si="3"/>
        <v>Eligible</v>
      </c>
      <c r="R446" s="7" t="s">
        <v>162</v>
      </c>
    </row>
    <row r="447" ht="15.75" customHeight="1">
      <c r="A447" s="8" t="s">
        <v>885</v>
      </c>
      <c r="B447" s="8" t="s">
        <v>886</v>
      </c>
      <c r="C447" s="8" t="s">
        <v>57</v>
      </c>
      <c r="D447" s="9" t="str">
        <f>vlookup(C447,Dept_Lookup!A$1:B$17,2,false)</f>
        <v>Computer Science</v>
      </c>
      <c r="E447" s="9">
        <v>45893.0</v>
      </c>
      <c r="F447" s="10">
        <f t="shared" si="4"/>
        <v>45893</v>
      </c>
      <c r="G447" s="8">
        <v>98.0</v>
      </c>
      <c r="H447" s="8">
        <v>67.0</v>
      </c>
      <c r="I447" s="8">
        <v>82.0</v>
      </c>
      <c r="J447" s="11">
        <f>G447*Scoring_Weights!B$2+H447*Scoring_Weights!B$3+I447*Scoring_Weights!B$4</f>
        <v>79.15</v>
      </c>
      <c r="K447" s="12">
        <v>0.91</v>
      </c>
      <c r="L447" s="8">
        <v>0.79</v>
      </c>
      <c r="M447" s="12">
        <f t="shared" si="2"/>
        <v>0.79</v>
      </c>
      <c r="N447" s="8" t="s">
        <v>794</v>
      </c>
      <c r="O447" s="13">
        <f>vlookup(N447,Interview_Slots!$A$1:$D$5,3,false)</f>
        <v>75</v>
      </c>
      <c r="P447" s="13">
        <f>vlookup(N447,Interview_Slots!$A$1:$D$5,4,false)</f>
        <v>85</v>
      </c>
      <c r="Q447" s="13" t="str">
        <f t="shared" si="3"/>
        <v>Eligible</v>
      </c>
      <c r="R447" s="7" t="s">
        <v>162</v>
      </c>
    </row>
    <row r="448" ht="15.75" customHeight="1">
      <c r="A448" s="8" t="s">
        <v>887</v>
      </c>
      <c r="B448" s="8" t="s">
        <v>888</v>
      </c>
      <c r="C448" s="8" t="s">
        <v>72</v>
      </c>
      <c r="D448" s="9" t="str">
        <f>vlookup(C448,Dept_Lookup!A$1:B$17,2,false)</f>
        <v>Mechanical</v>
      </c>
      <c r="E448" s="9">
        <v>45887.0</v>
      </c>
      <c r="F448" s="10">
        <f t="shared" si="4"/>
        <v>45887</v>
      </c>
      <c r="G448" s="8">
        <v>98.0</v>
      </c>
      <c r="H448" s="8">
        <v>67.0</v>
      </c>
      <c r="I448" s="8">
        <v>82.0</v>
      </c>
      <c r="J448" s="11">
        <f>G448*Scoring_Weights!B$2+H448*Scoring_Weights!B$3+I448*Scoring_Weights!B$4</f>
        <v>79.15</v>
      </c>
      <c r="K448" s="12">
        <v>0.91</v>
      </c>
      <c r="L448" s="8">
        <v>0.79</v>
      </c>
      <c r="M448" s="12">
        <f t="shared" si="2"/>
        <v>0.79</v>
      </c>
      <c r="N448" s="8" t="s">
        <v>794</v>
      </c>
      <c r="O448" s="13">
        <f>vlookup(N448,Interview_Slots!$A$1:$D$5,3,false)</f>
        <v>75</v>
      </c>
      <c r="P448" s="13">
        <f>vlookup(N448,Interview_Slots!$A$1:$D$5,4,false)</f>
        <v>85</v>
      </c>
      <c r="Q448" s="13" t="str">
        <f t="shared" si="3"/>
        <v>Eligible</v>
      </c>
      <c r="R448" s="7" t="s">
        <v>162</v>
      </c>
    </row>
    <row r="449" ht="15.75" customHeight="1">
      <c r="A449" s="8" t="s">
        <v>889</v>
      </c>
      <c r="B449" s="8" t="s">
        <v>890</v>
      </c>
      <c r="C449" s="8" t="s">
        <v>38</v>
      </c>
      <c r="D449" s="9" t="str">
        <f>vlookup(C449,Dept_Lookup!A$1:B$17,2,false)</f>
        <v>Mechanical</v>
      </c>
      <c r="E449" s="9">
        <v>45878.0</v>
      </c>
      <c r="F449" s="10">
        <f t="shared" si="4"/>
        <v>45878</v>
      </c>
      <c r="G449" s="8">
        <v>78.0</v>
      </c>
      <c r="H449" s="8">
        <v>62.0</v>
      </c>
      <c r="I449" s="8">
        <v>91.0</v>
      </c>
      <c r="J449" s="11">
        <f>G449*Scoring_Weights!B$2+H449*Scoring_Weights!B$3+I449*Scoring_Weights!B$4</f>
        <v>78.9</v>
      </c>
      <c r="K449" s="12">
        <v>0.88</v>
      </c>
      <c r="L449" s="8">
        <v>0.92</v>
      </c>
      <c r="M449" s="12">
        <f t="shared" si="2"/>
        <v>0.92</v>
      </c>
      <c r="N449" s="8" t="s">
        <v>794</v>
      </c>
      <c r="O449" s="13">
        <f>vlookup(N449,Interview_Slots!$A$1:$D$5,3,false)</f>
        <v>75</v>
      </c>
      <c r="P449" s="13">
        <f>vlookup(N449,Interview_Slots!$A$1:$D$5,4,false)</f>
        <v>85</v>
      </c>
      <c r="Q449" s="13" t="str">
        <f t="shared" si="3"/>
        <v>Eligible</v>
      </c>
      <c r="R449" s="7" t="s">
        <v>162</v>
      </c>
    </row>
    <row r="450" ht="15.75" customHeight="1">
      <c r="A450" s="8" t="s">
        <v>891</v>
      </c>
      <c r="B450" s="8" t="s">
        <v>892</v>
      </c>
      <c r="C450" s="8" t="s">
        <v>35</v>
      </c>
      <c r="D450" s="9" t="str">
        <f>vlookup(C450,Dept_Lookup!A$1:B$17,2,false)</f>
        <v>Electronics</v>
      </c>
      <c r="E450" s="14">
        <v>45877.0</v>
      </c>
      <c r="F450" s="10">
        <f t="shared" si="4"/>
        <v>45877</v>
      </c>
      <c r="G450" s="8">
        <v>93.0</v>
      </c>
      <c r="H450" s="8">
        <v>72.0</v>
      </c>
      <c r="I450" s="8">
        <v>79.0</v>
      </c>
      <c r="J450" s="11">
        <f>G450*Scoring_Weights!B$2+H450*Scoring_Weights!B$3+I450*Scoring_Weights!B$4</f>
        <v>78.65</v>
      </c>
      <c r="K450" s="12">
        <v>0.88</v>
      </c>
      <c r="L450" s="8">
        <v>0.97</v>
      </c>
      <c r="M450" s="12">
        <f t="shared" si="2"/>
        <v>0.97</v>
      </c>
      <c r="N450" s="8" t="s">
        <v>794</v>
      </c>
      <c r="O450" s="13">
        <f>vlookup(N450,Interview_Slots!$A$1:$D$5,3,false)</f>
        <v>75</v>
      </c>
      <c r="P450" s="13">
        <f>vlookup(N450,Interview_Slots!$A$1:$D$5,4,false)</f>
        <v>85</v>
      </c>
      <c r="Q450" s="13" t="str">
        <f t="shared" si="3"/>
        <v>Eligible</v>
      </c>
      <c r="R450" s="7" t="s">
        <v>162</v>
      </c>
    </row>
    <row r="451" ht="15.75" hidden="1" customHeight="1">
      <c r="A451" s="8" t="s">
        <v>893</v>
      </c>
      <c r="B451" s="8" t="s">
        <v>853</v>
      </c>
      <c r="C451" s="8" t="s">
        <v>35</v>
      </c>
      <c r="D451" s="9" t="str">
        <f>vlookup(C451,Dept_Lookup!A$1:B$17,2,false)</f>
        <v>Electronics</v>
      </c>
      <c r="E451" s="14">
        <v>45865.0</v>
      </c>
      <c r="F451" s="10">
        <f t="shared" si="4"/>
        <v>45865</v>
      </c>
      <c r="G451" s="8">
        <v>87.0</v>
      </c>
      <c r="H451" s="8">
        <v>94.0</v>
      </c>
      <c r="I451" s="8">
        <v>65.0</v>
      </c>
      <c r="J451" s="11">
        <f>G451*Scoring_Weights!B$2+H451*Scoring_Weights!B$3+I451*Scoring_Weights!B$4</f>
        <v>78.45</v>
      </c>
      <c r="K451" s="12">
        <v>0.81</v>
      </c>
      <c r="L451" s="8">
        <v>0.8</v>
      </c>
      <c r="M451" s="12">
        <f t="shared" si="2"/>
        <v>0.8</v>
      </c>
      <c r="N451" s="8" t="s">
        <v>794</v>
      </c>
      <c r="O451" s="13">
        <f>vlookup(N451,Interview_Slots!$A$1:$D$5,3,false)</f>
        <v>75</v>
      </c>
      <c r="P451" s="13">
        <f>vlookup(N451,Interview_Slots!$A$1:$D$5,4,false)</f>
        <v>85</v>
      </c>
      <c r="Q451" s="13" t="str">
        <f t="shared" si="3"/>
        <v>Not Eligible</v>
      </c>
    </row>
    <row r="452" ht="15.75" customHeight="1">
      <c r="A452" s="8" t="s">
        <v>894</v>
      </c>
      <c r="B452" s="8" t="s">
        <v>895</v>
      </c>
      <c r="C452" s="8" t="s">
        <v>83</v>
      </c>
      <c r="D452" s="9" t="str">
        <f>vlookup(C452,Dept_Lookup!A$1:B$17,2,false)</f>
        <v>Civil</v>
      </c>
      <c r="E452" s="14">
        <v>45865.0</v>
      </c>
      <c r="F452" s="10">
        <f t="shared" si="4"/>
        <v>45865</v>
      </c>
      <c r="G452" s="8">
        <v>94.0</v>
      </c>
      <c r="H452" s="8">
        <v>68.0</v>
      </c>
      <c r="I452" s="8">
        <v>81.0</v>
      </c>
      <c r="J452" s="11">
        <f>G452*Scoring_Weights!B$2+H452*Scoring_Weights!B$3+I452*Scoring_Weights!B$4</f>
        <v>78.4</v>
      </c>
      <c r="K452" s="12">
        <v>0.92</v>
      </c>
      <c r="L452" s="8">
        <v>0.76</v>
      </c>
      <c r="M452" s="12">
        <f t="shared" si="2"/>
        <v>0.76</v>
      </c>
      <c r="N452" s="8" t="s">
        <v>794</v>
      </c>
      <c r="O452" s="13">
        <f>vlookup(N452,Interview_Slots!$A$1:$D$5,3,false)</f>
        <v>75</v>
      </c>
      <c r="P452" s="13">
        <f>vlookup(N452,Interview_Slots!$A$1:$D$5,4,false)</f>
        <v>85</v>
      </c>
      <c r="Q452" s="13" t="str">
        <f t="shared" si="3"/>
        <v>Eligible</v>
      </c>
      <c r="R452" s="7" t="s">
        <v>162</v>
      </c>
    </row>
    <row r="453" ht="15.75" hidden="1" customHeight="1">
      <c r="A453" s="8" t="s">
        <v>896</v>
      </c>
      <c r="B453" s="8" t="s">
        <v>897</v>
      </c>
      <c r="C453" s="8" t="s">
        <v>102</v>
      </c>
      <c r="D453" s="9" t="str">
        <f>vlookup(C453,Dept_Lookup!A$1:B$17,2,false)</f>
        <v>Computer Science</v>
      </c>
      <c r="E453" s="14">
        <v>45913.0</v>
      </c>
      <c r="F453" s="10">
        <f t="shared" si="4"/>
        <v>45913</v>
      </c>
      <c r="G453" s="8">
        <v>68.0</v>
      </c>
      <c r="H453" s="8">
        <v>72.0</v>
      </c>
      <c r="I453" s="8">
        <v>86.0</v>
      </c>
      <c r="J453" s="11">
        <f>G453*Scoring_Weights!B$2+H453*Scoring_Weights!B$3+I453*Scoring_Weights!B$4</f>
        <v>78.4</v>
      </c>
      <c r="K453" s="12">
        <v>0.83</v>
      </c>
      <c r="L453" s="8">
        <v>0.89</v>
      </c>
      <c r="M453" s="12">
        <f t="shared" si="2"/>
        <v>0.89</v>
      </c>
      <c r="N453" s="8" t="s">
        <v>794</v>
      </c>
      <c r="O453" s="13">
        <f>vlookup(N453,Interview_Slots!$A$1:$D$5,3,false)</f>
        <v>75</v>
      </c>
      <c r="P453" s="13">
        <f>vlookup(N453,Interview_Slots!$A$1:$D$5,4,false)</f>
        <v>85</v>
      </c>
      <c r="Q453" s="13" t="str">
        <f t="shared" si="3"/>
        <v>Not Eligible</v>
      </c>
    </row>
    <row r="454" ht="15.75" customHeight="1">
      <c r="A454" s="8" t="s">
        <v>898</v>
      </c>
      <c r="B454" s="8" t="s">
        <v>899</v>
      </c>
      <c r="C454" s="8" t="s">
        <v>83</v>
      </c>
      <c r="D454" s="9" t="str">
        <f>vlookup(C454,Dept_Lookup!A$1:B$17,2,false)</f>
        <v>Civil</v>
      </c>
      <c r="E454" s="14">
        <v>45865.0</v>
      </c>
      <c r="F454" s="10">
        <f t="shared" si="4"/>
        <v>45865</v>
      </c>
      <c r="G454" s="8">
        <v>91.0</v>
      </c>
      <c r="H454" s="8">
        <v>95.0</v>
      </c>
      <c r="I454" s="8">
        <v>63.0</v>
      </c>
      <c r="J454" s="11">
        <f>G454*Scoring_Weights!B$2+H454*Scoring_Weights!B$3+I454*Scoring_Weights!B$4</f>
        <v>78.4</v>
      </c>
      <c r="K454" s="12">
        <v>0.88</v>
      </c>
      <c r="L454" s="12">
        <v>0.78</v>
      </c>
      <c r="M454" s="12">
        <f t="shared" si="2"/>
        <v>0.78</v>
      </c>
      <c r="N454" s="8" t="s">
        <v>794</v>
      </c>
      <c r="O454" s="13">
        <f>vlookup(N454,Interview_Slots!$A$1:$D$5,3,false)</f>
        <v>75</v>
      </c>
      <c r="P454" s="13">
        <f>vlookup(N454,Interview_Slots!$A$1:$D$5,4,false)</f>
        <v>85</v>
      </c>
      <c r="Q454" s="13" t="str">
        <f t="shared" si="3"/>
        <v>Eligible</v>
      </c>
      <c r="R454" s="7" t="s">
        <v>162</v>
      </c>
    </row>
    <row r="455" ht="15.75" hidden="1" customHeight="1">
      <c r="A455" s="8" t="s">
        <v>900</v>
      </c>
      <c r="B455" s="8" t="s">
        <v>901</v>
      </c>
      <c r="C455" s="8" t="s">
        <v>50</v>
      </c>
      <c r="D455" s="9" t="str">
        <f>vlookup(C455,Dept_Lookup!A$1:B$17,2,false)</f>
        <v>Electronics</v>
      </c>
      <c r="E455" s="9">
        <v>45860.0</v>
      </c>
      <c r="F455" s="10">
        <f t="shared" si="4"/>
        <v>45860</v>
      </c>
      <c r="G455" s="8">
        <v>88.0</v>
      </c>
      <c r="H455" s="8">
        <v>89.0</v>
      </c>
      <c r="I455" s="8">
        <v>67.0</v>
      </c>
      <c r="J455" s="11">
        <f>G455*Scoring_Weights!B$2+H455*Scoring_Weights!B$3+I455*Scoring_Weights!B$4</f>
        <v>77.85</v>
      </c>
      <c r="K455" s="12">
        <v>0.8</v>
      </c>
      <c r="L455" s="8">
        <v>0.75</v>
      </c>
      <c r="M455" s="12">
        <f t="shared" si="2"/>
        <v>0.75</v>
      </c>
      <c r="N455" s="8" t="s">
        <v>794</v>
      </c>
      <c r="O455" s="13">
        <f>vlookup(N455,Interview_Slots!$A$1:$D$5,3,false)</f>
        <v>75</v>
      </c>
      <c r="P455" s="13">
        <f>vlookup(N455,Interview_Slots!$A$1:$D$5,4,false)</f>
        <v>85</v>
      </c>
      <c r="Q455" s="13" t="str">
        <f t="shared" si="3"/>
        <v>Not Eligible</v>
      </c>
    </row>
    <row r="456" ht="15.75" customHeight="1">
      <c r="A456" s="8" t="s">
        <v>902</v>
      </c>
      <c r="B456" s="8" t="s">
        <v>903</v>
      </c>
      <c r="C456" s="8" t="s">
        <v>102</v>
      </c>
      <c r="D456" s="9" t="str">
        <f>vlookup(C456,Dept_Lookup!A$1:B$17,2,false)</f>
        <v>Computer Science</v>
      </c>
      <c r="E456" s="14">
        <v>45919.0</v>
      </c>
      <c r="F456" s="10">
        <f t="shared" si="4"/>
        <v>45919</v>
      </c>
      <c r="G456" s="8">
        <v>57.0</v>
      </c>
      <c r="H456" s="8">
        <v>72.0</v>
      </c>
      <c r="I456" s="8">
        <v>88.0</v>
      </c>
      <c r="J456" s="11">
        <f>G456*Scoring_Weights!B$2+H456*Scoring_Weights!B$3+I456*Scoring_Weights!B$4</f>
        <v>77.75</v>
      </c>
      <c r="K456" s="12">
        <v>0.85</v>
      </c>
      <c r="L456" s="8">
        <v>0.8</v>
      </c>
      <c r="M456" s="12">
        <f t="shared" si="2"/>
        <v>0.8</v>
      </c>
      <c r="N456" s="8" t="s">
        <v>794</v>
      </c>
      <c r="O456" s="13">
        <f>vlookup(N456,Interview_Slots!$A$1:$D$5,3,false)</f>
        <v>75</v>
      </c>
      <c r="P456" s="13">
        <f>vlookup(N456,Interview_Slots!$A$1:$D$5,4,false)</f>
        <v>85</v>
      </c>
      <c r="Q456" s="13" t="str">
        <f t="shared" si="3"/>
        <v>Eligible</v>
      </c>
      <c r="R456" s="7" t="s">
        <v>162</v>
      </c>
    </row>
    <row r="457" ht="15.75" customHeight="1">
      <c r="A457" s="8" t="s">
        <v>904</v>
      </c>
      <c r="B457" s="8" t="s">
        <v>905</v>
      </c>
      <c r="C457" s="8" t="s">
        <v>102</v>
      </c>
      <c r="D457" s="9" t="str">
        <f>vlookup(C457,Dept_Lookup!A$1:B$17,2,false)</f>
        <v>Computer Science</v>
      </c>
      <c r="E457" s="14">
        <v>45913.0</v>
      </c>
      <c r="F457" s="10">
        <f t="shared" si="4"/>
        <v>45913</v>
      </c>
      <c r="G457" s="8">
        <v>82.0</v>
      </c>
      <c r="H457" s="8">
        <v>94.0</v>
      </c>
      <c r="I457" s="8">
        <v>65.0</v>
      </c>
      <c r="J457" s="11">
        <f>G457*Scoring_Weights!B$2+H457*Scoring_Weights!B$3+I457*Scoring_Weights!B$4</f>
        <v>77.7</v>
      </c>
      <c r="K457" s="12">
        <v>0.89</v>
      </c>
      <c r="L457" s="12">
        <v>0.94</v>
      </c>
      <c r="M457" s="12">
        <f t="shared" si="2"/>
        <v>0.94</v>
      </c>
      <c r="N457" s="8" t="s">
        <v>794</v>
      </c>
      <c r="O457" s="13">
        <f>vlookup(N457,Interview_Slots!$A$1:$D$5,3,false)</f>
        <v>75</v>
      </c>
      <c r="P457" s="13">
        <f>vlookup(N457,Interview_Slots!$A$1:$D$5,4,false)</f>
        <v>85</v>
      </c>
      <c r="Q457" s="13" t="str">
        <f t="shared" si="3"/>
        <v>Eligible</v>
      </c>
      <c r="R457" s="7" t="s">
        <v>162</v>
      </c>
    </row>
    <row r="458" ht="15.75" customHeight="1">
      <c r="A458" s="8" t="s">
        <v>906</v>
      </c>
      <c r="B458" s="8" t="s">
        <v>907</v>
      </c>
      <c r="C458" s="8" t="s">
        <v>83</v>
      </c>
      <c r="D458" s="9" t="str">
        <f>vlookup(C458,Dept_Lookup!A$1:B$17,2,false)</f>
        <v>Civil</v>
      </c>
      <c r="E458" s="14">
        <v>45870.0</v>
      </c>
      <c r="F458" s="10">
        <f t="shared" si="4"/>
        <v>45870</v>
      </c>
      <c r="G458" s="8">
        <v>73.0</v>
      </c>
      <c r="H458" s="8">
        <v>69.0</v>
      </c>
      <c r="I458" s="8">
        <v>84.0</v>
      </c>
      <c r="J458" s="11">
        <f>G458*Scoring_Weights!B$2+H458*Scoring_Weights!B$3+I458*Scoring_Weights!B$4</f>
        <v>77.1</v>
      </c>
      <c r="K458" s="12">
        <v>0.86</v>
      </c>
      <c r="L458" s="8">
        <v>0.79</v>
      </c>
      <c r="M458" s="12">
        <f t="shared" si="2"/>
        <v>0.79</v>
      </c>
      <c r="N458" s="8" t="s">
        <v>794</v>
      </c>
      <c r="O458" s="13">
        <f>vlookup(N458,Interview_Slots!$A$1:$D$5,3,false)</f>
        <v>75</v>
      </c>
      <c r="P458" s="13">
        <f>vlookup(N458,Interview_Slots!$A$1:$D$5,4,false)</f>
        <v>85</v>
      </c>
      <c r="Q458" s="13" t="str">
        <f t="shared" si="3"/>
        <v>Eligible</v>
      </c>
      <c r="R458" s="7" t="s">
        <v>162</v>
      </c>
    </row>
    <row r="459" ht="15.75" customHeight="1">
      <c r="A459" s="8" t="s">
        <v>908</v>
      </c>
      <c r="B459" s="8" t="s">
        <v>909</v>
      </c>
      <c r="C459" s="8" t="s">
        <v>44</v>
      </c>
      <c r="D459" s="9" t="str">
        <f>vlookup(C459,Dept_Lookup!A$1:B$17,2,false)</f>
        <v>Computer Science</v>
      </c>
      <c r="E459" s="9">
        <v>45893.0</v>
      </c>
      <c r="F459" s="10">
        <f t="shared" si="4"/>
        <v>45893</v>
      </c>
      <c r="G459" s="8">
        <v>68.0</v>
      </c>
      <c r="H459" s="8">
        <v>95.0</v>
      </c>
      <c r="I459" s="8">
        <v>67.0</v>
      </c>
      <c r="J459" s="11">
        <f>G459*Scoring_Weights!B$2+H459*Scoring_Weights!B$3+I459*Scoring_Weights!B$4</f>
        <v>76.95</v>
      </c>
      <c r="K459" s="12">
        <v>0.89</v>
      </c>
      <c r="L459" s="8">
        <v>0.94</v>
      </c>
      <c r="M459" s="12">
        <f t="shared" si="2"/>
        <v>0.94</v>
      </c>
      <c r="N459" s="8" t="s">
        <v>794</v>
      </c>
      <c r="O459" s="13">
        <f>vlookup(N459,Interview_Slots!$A$1:$D$5,3,false)</f>
        <v>75</v>
      </c>
      <c r="P459" s="13">
        <f>vlookup(N459,Interview_Slots!$A$1:$D$5,4,false)</f>
        <v>85</v>
      </c>
      <c r="Q459" s="13" t="str">
        <f t="shared" si="3"/>
        <v>Eligible</v>
      </c>
      <c r="R459" s="7" t="s">
        <v>162</v>
      </c>
    </row>
    <row r="460" ht="15.75" hidden="1" customHeight="1">
      <c r="A460" s="8" t="s">
        <v>910</v>
      </c>
      <c r="B460" s="8" t="s">
        <v>911</v>
      </c>
      <c r="C460" s="8" t="s">
        <v>44</v>
      </c>
      <c r="D460" s="9" t="str">
        <f>vlookup(C460,Dept_Lookup!A$1:B$17,2,false)</f>
        <v>Computer Science</v>
      </c>
      <c r="E460" s="9">
        <v>45878.0</v>
      </c>
      <c r="F460" s="10">
        <f t="shared" si="4"/>
        <v>45878</v>
      </c>
      <c r="G460" s="8">
        <v>69.0</v>
      </c>
      <c r="H460" s="8">
        <v>73.0</v>
      </c>
      <c r="I460" s="8">
        <v>82.0</v>
      </c>
      <c r="J460" s="11">
        <f>G460*Scoring_Weights!B$2+H460*Scoring_Weights!B$3+I460*Scoring_Weights!B$4</f>
        <v>76.9</v>
      </c>
      <c r="K460" s="12">
        <v>0.76</v>
      </c>
      <c r="L460" s="8">
        <v>0.86</v>
      </c>
      <c r="M460" s="12">
        <f t="shared" si="2"/>
        <v>0.86</v>
      </c>
      <c r="N460" s="8" t="s">
        <v>794</v>
      </c>
      <c r="O460" s="13">
        <f>vlookup(N460,Interview_Slots!$A$1:$D$5,3,false)</f>
        <v>75</v>
      </c>
      <c r="P460" s="13">
        <f>vlookup(N460,Interview_Slots!$A$1:$D$5,4,false)</f>
        <v>85</v>
      </c>
      <c r="Q460" s="13" t="str">
        <f t="shared" si="3"/>
        <v>Not Eligible</v>
      </c>
    </row>
    <row r="461" ht="15.75" customHeight="1">
      <c r="A461" s="8" t="s">
        <v>912</v>
      </c>
      <c r="B461" s="8" t="s">
        <v>913</v>
      </c>
      <c r="C461" s="8" t="s">
        <v>25</v>
      </c>
      <c r="D461" s="9" t="str">
        <f>vlookup(C461,Dept_Lookup!A$1:B$17,2,false)</f>
        <v>Computer Science</v>
      </c>
      <c r="E461" s="9">
        <v>45887.0</v>
      </c>
      <c r="F461" s="10">
        <f t="shared" si="4"/>
        <v>45887</v>
      </c>
      <c r="G461" s="8">
        <v>80.0</v>
      </c>
      <c r="H461" s="8">
        <v>95.0</v>
      </c>
      <c r="I461" s="8">
        <v>63.0</v>
      </c>
      <c r="J461" s="11">
        <f>G461*Scoring_Weights!B$2+H461*Scoring_Weights!B$3+I461*Scoring_Weights!B$4</f>
        <v>76.75</v>
      </c>
      <c r="K461" s="12">
        <v>0.91</v>
      </c>
      <c r="L461" s="12">
        <v>0.92</v>
      </c>
      <c r="M461" s="12">
        <f t="shared" si="2"/>
        <v>0.92</v>
      </c>
      <c r="N461" s="8" t="s">
        <v>794</v>
      </c>
      <c r="O461" s="13">
        <f>vlookup(N461,Interview_Slots!$A$1:$D$5,3,false)</f>
        <v>75</v>
      </c>
      <c r="P461" s="13">
        <f>vlookup(N461,Interview_Slots!$A$1:$D$5,4,false)</f>
        <v>85</v>
      </c>
      <c r="Q461" s="13" t="str">
        <f t="shared" si="3"/>
        <v>Eligible</v>
      </c>
      <c r="R461" s="7" t="s">
        <v>162</v>
      </c>
    </row>
    <row r="462" ht="15.75" hidden="1" customHeight="1">
      <c r="A462" s="8" t="s">
        <v>914</v>
      </c>
      <c r="B462" s="8" t="s">
        <v>915</v>
      </c>
      <c r="C462" s="8" t="s">
        <v>38</v>
      </c>
      <c r="D462" s="9" t="str">
        <f>vlookup(C462,Dept_Lookup!A$1:B$17,2,false)</f>
        <v>Mechanical</v>
      </c>
      <c r="E462" s="9">
        <v>45893.0</v>
      </c>
      <c r="F462" s="10">
        <f t="shared" si="4"/>
        <v>45893</v>
      </c>
      <c r="G462" s="8">
        <v>70.0</v>
      </c>
      <c r="H462" s="8">
        <v>95.0</v>
      </c>
      <c r="I462" s="8">
        <v>66.0</v>
      </c>
      <c r="J462" s="11">
        <f>G462*Scoring_Weights!B$2+H462*Scoring_Weights!B$3+I462*Scoring_Weights!B$4</f>
        <v>76.75</v>
      </c>
      <c r="K462" s="12">
        <v>0.83</v>
      </c>
      <c r="L462" s="8">
        <v>0.83</v>
      </c>
      <c r="M462" s="12">
        <f t="shared" si="2"/>
        <v>0.83</v>
      </c>
      <c r="N462" s="8" t="s">
        <v>794</v>
      </c>
      <c r="O462" s="13">
        <f>vlookup(N462,Interview_Slots!$A$1:$D$5,3,false)</f>
        <v>75</v>
      </c>
      <c r="P462" s="13">
        <f>vlookup(N462,Interview_Slots!$A$1:$D$5,4,false)</f>
        <v>85</v>
      </c>
      <c r="Q462" s="13" t="str">
        <f t="shared" si="3"/>
        <v>Not Eligible</v>
      </c>
    </row>
    <row r="463" ht="15.75" hidden="1" customHeight="1">
      <c r="A463" s="8" t="s">
        <v>916</v>
      </c>
      <c r="B463" s="8" t="s">
        <v>917</v>
      </c>
      <c r="C463" s="8" t="s">
        <v>20</v>
      </c>
      <c r="D463" s="9" t="str">
        <f>vlookup(C463,Dept_Lookup!A$1:B$17,2,false)</f>
        <v>Electronics</v>
      </c>
      <c r="E463" s="14">
        <v>45919.0</v>
      </c>
      <c r="F463" s="10">
        <f t="shared" si="4"/>
        <v>45919</v>
      </c>
      <c r="G463" s="8">
        <v>57.0</v>
      </c>
      <c r="H463" s="8">
        <v>73.0</v>
      </c>
      <c r="I463" s="8">
        <v>85.0</v>
      </c>
      <c r="J463" s="11">
        <f>G463*Scoring_Weights!B$2+H463*Scoring_Weights!B$3+I463*Scoring_Weights!B$4</f>
        <v>76.6</v>
      </c>
      <c r="K463" s="12">
        <v>0.75</v>
      </c>
      <c r="L463" s="12">
        <v>0.76</v>
      </c>
      <c r="M463" s="12">
        <f t="shared" si="2"/>
        <v>0.76</v>
      </c>
      <c r="N463" s="8" t="s">
        <v>794</v>
      </c>
      <c r="O463" s="13">
        <f>vlookup(N463,Interview_Slots!$A$1:$D$5,3,false)</f>
        <v>75</v>
      </c>
      <c r="P463" s="13">
        <f>vlookup(N463,Interview_Slots!$A$1:$D$5,4,false)</f>
        <v>85</v>
      </c>
      <c r="Q463" s="13" t="str">
        <f t="shared" si="3"/>
        <v>Not Eligible</v>
      </c>
    </row>
    <row r="464" ht="15.75" customHeight="1">
      <c r="A464" s="8" t="s">
        <v>918</v>
      </c>
      <c r="B464" s="8" t="s">
        <v>919</v>
      </c>
      <c r="C464" s="8" t="s">
        <v>161</v>
      </c>
      <c r="D464" s="9" t="str">
        <f>vlookup(C464,Dept_Lookup!A$1:B$17,2,false)</f>
        <v>Mechanical</v>
      </c>
      <c r="E464" s="9">
        <v>45891.0</v>
      </c>
      <c r="F464" s="10">
        <f t="shared" si="4"/>
        <v>45891</v>
      </c>
      <c r="G464" s="8">
        <v>63.0</v>
      </c>
      <c r="H464" s="8">
        <v>83.0</v>
      </c>
      <c r="I464" s="8">
        <v>76.0</v>
      </c>
      <c r="J464" s="11">
        <f>G464*Scoring_Weights!B$2+H464*Scoring_Weights!B$3+I464*Scoring_Weights!B$4</f>
        <v>76.5</v>
      </c>
      <c r="K464" s="12">
        <v>0.95</v>
      </c>
      <c r="L464" s="8">
        <v>0.87</v>
      </c>
      <c r="M464" s="12">
        <f t="shared" si="2"/>
        <v>0.87</v>
      </c>
      <c r="N464" s="8" t="s">
        <v>794</v>
      </c>
      <c r="O464" s="13">
        <f>vlookup(N464,Interview_Slots!$A$1:$D$5,3,false)</f>
        <v>75</v>
      </c>
      <c r="P464" s="13">
        <f>vlookup(N464,Interview_Slots!$A$1:$D$5,4,false)</f>
        <v>85</v>
      </c>
      <c r="Q464" s="13" t="str">
        <f t="shared" si="3"/>
        <v>Eligible</v>
      </c>
      <c r="R464" s="7" t="s">
        <v>162</v>
      </c>
    </row>
    <row r="465" ht="15.75" hidden="1" customHeight="1">
      <c r="B465" s="8" t="s">
        <v>920</v>
      </c>
      <c r="C465" s="8" t="s">
        <v>102</v>
      </c>
      <c r="D465" s="9" t="str">
        <f>vlookup(C465,Dept_Lookup!A$1:B$17,2,false)</f>
        <v>Computer Science</v>
      </c>
      <c r="E465" s="14">
        <v>45877.0</v>
      </c>
      <c r="F465" s="10">
        <f t="shared" si="4"/>
        <v>45877</v>
      </c>
      <c r="G465" s="8">
        <v>81.0</v>
      </c>
      <c r="H465" s="8">
        <v>55.0</v>
      </c>
      <c r="I465" s="8">
        <v>90.0</v>
      </c>
      <c r="J465" s="11">
        <f>G465*Scoring_Weights!B$2+H465*Scoring_Weights!B$3+I465*Scoring_Weights!B$4</f>
        <v>76.4</v>
      </c>
      <c r="K465" s="12">
        <v>0.79</v>
      </c>
      <c r="L465" s="8">
        <v>0.98</v>
      </c>
      <c r="M465" s="12">
        <f t="shared" si="2"/>
        <v>0.98</v>
      </c>
      <c r="N465" s="8" t="s">
        <v>794</v>
      </c>
      <c r="O465" s="13">
        <f>vlookup(N465,Interview_Slots!$A$1:$D$5,3,false)</f>
        <v>75</v>
      </c>
      <c r="P465" s="13">
        <f>vlookup(N465,Interview_Slots!$A$1:$D$5,4,false)</f>
        <v>85</v>
      </c>
      <c r="Q465" s="13" t="str">
        <f t="shared" si="3"/>
        <v>Not Eligible</v>
      </c>
    </row>
    <row r="466" ht="15.75" hidden="1" customHeight="1">
      <c r="B466" s="8" t="s">
        <v>921</v>
      </c>
      <c r="C466" s="8" t="s">
        <v>47</v>
      </c>
      <c r="D466" s="9" t="str">
        <f>vlookup(C466,Dept_Lookup!A$1:B$17,2,false)</f>
        <v>Civil</v>
      </c>
      <c r="E466" s="14">
        <v>45880.0</v>
      </c>
      <c r="F466" s="10">
        <f t="shared" si="4"/>
        <v>45880</v>
      </c>
      <c r="G466" s="8">
        <v>65.0</v>
      </c>
      <c r="H466" s="8">
        <v>74.0</v>
      </c>
      <c r="I466" s="8">
        <v>81.0</v>
      </c>
      <c r="J466" s="11">
        <f>G466*Scoring_Weights!B$2+H466*Scoring_Weights!B$3+I466*Scoring_Weights!B$4</f>
        <v>76.15</v>
      </c>
      <c r="K466" s="12">
        <v>0.81</v>
      </c>
      <c r="L466" s="15">
        <v>0.73</v>
      </c>
      <c r="M466" s="12">
        <f t="shared" si="2"/>
        <v>0.73</v>
      </c>
      <c r="N466" s="8" t="s">
        <v>794</v>
      </c>
      <c r="O466" s="13">
        <f>vlookup(N466,Interview_Slots!$A$1:$D$5,3,false)</f>
        <v>75</v>
      </c>
      <c r="P466" s="13">
        <f>vlookup(N466,Interview_Slots!$A$1:$D$5,4,false)</f>
        <v>85</v>
      </c>
      <c r="Q466" s="13" t="str">
        <f t="shared" si="3"/>
        <v>Not Eligible</v>
      </c>
    </row>
    <row r="467" ht="15.75" hidden="1" customHeight="1">
      <c r="B467" s="8" t="s">
        <v>922</v>
      </c>
      <c r="C467" s="8" t="s">
        <v>41</v>
      </c>
      <c r="D467" s="9" t="str">
        <f>vlookup(C467,Dept_Lookup!A$1:B$17,2,false)</f>
        <v>Mechanical</v>
      </c>
      <c r="E467" s="9">
        <v>45878.0</v>
      </c>
      <c r="F467" s="10">
        <f t="shared" si="4"/>
        <v>45878</v>
      </c>
      <c r="G467" s="8">
        <v>81.0</v>
      </c>
      <c r="H467" s="8">
        <v>60.0</v>
      </c>
      <c r="I467" s="8">
        <v>86.0</v>
      </c>
      <c r="J467" s="11">
        <f>G467*Scoring_Weights!B$2+H467*Scoring_Weights!B$3+I467*Scoring_Weights!B$4</f>
        <v>76.15</v>
      </c>
      <c r="K467" s="12">
        <v>0.84</v>
      </c>
      <c r="L467" s="8">
        <v>0.82</v>
      </c>
      <c r="M467" s="12">
        <f t="shared" si="2"/>
        <v>0.82</v>
      </c>
      <c r="N467" s="8" t="s">
        <v>794</v>
      </c>
      <c r="O467" s="13">
        <f>vlookup(N467,Interview_Slots!$A$1:$D$5,3,false)</f>
        <v>75</v>
      </c>
      <c r="P467" s="13">
        <f>vlookup(N467,Interview_Slots!$A$1:$D$5,4,false)</f>
        <v>85</v>
      </c>
      <c r="Q467" s="13" t="str">
        <f t="shared" si="3"/>
        <v>Not Eligible</v>
      </c>
    </row>
    <row r="468" ht="15.75" hidden="1" customHeight="1">
      <c r="B468" s="8" t="s">
        <v>923</v>
      </c>
      <c r="C468" s="8" t="s">
        <v>38</v>
      </c>
      <c r="D468" s="9" t="str">
        <f>vlookup(C468,Dept_Lookup!A$1:B$17,2,false)</f>
        <v>Mechanical</v>
      </c>
      <c r="E468" s="9">
        <v>45887.0</v>
      </c>
      <c r="F468" s="10">
        <f t="shared" si="4"/>
        <v>45887</v>
      </c>
      <c r="G468" s="8">
        <v>95.0</v>
      </c>
      <c r="H468" s="8">
        <v>56.0</v>
      </c>
      <c r="I468" s="8">
        <v>84.0</v>
      </c>
      <c r="J468" s="11">
        <f>G468*Scoring_Weights!B$2+H468*Scoring_Weights!B$3+I468*Scoring_Weights!B$4</f>
        <v>75.85</v>
      </c>
      <c r="K468" s="12">
        <v>0.84</v>
      </c>
      <c r="L468" s="12">
        <v>0.75</v>
      </c>
      <c r="M468" s="12">
        <f t="shared" si="2"/>
        <v>0.75</v>
      </c>
      <c r="N468" s="8" t="s">
        <v>794</v>
      </c>
      <c r="O468" s="13">
        <f>vlookup(N468,Interview_Slots!$A$1:$D$5,3,false)</f>
        <v>75</v>
      </c>
      <c r="P468" s="13">
        <f>vlookup(N468,Interview_Slots!$A$1:$D$5,4,false)</f>
        <v>85</v>
      </c>
      <c r="Q468" s="13" t="str">
        <f t="shared" si="3"/>
        <v>Not Eligible</v>
      </c>
    </row>
    <row r="469" ht="15.75" hidden="1" customHeight="1">
      <c r="B469" s="8" t="s">
        <v>924</v>
      </c>
      <c r="C469" s="8" t="s">
        <v>161</v>
      </c>
      <c r="D469" s="9" t="str">
        <f>vlookup(C469,Dept_Lookup!A$1:B$17,2,false)</f>
        <v>Mechanical</v>
      </c>
      <c r="E469" s="9">
        <v>45878.0</v>
      </c>
      <c r="F469" s="10">
        <f t="shared" si="4"/>
        <v>45878</v>
      </c>
      <c r="G469" s="8">
        <v>69.0</v>
      </c>
      <c r="H469" s="8">
        <v>80.0</v>
      </c>
      <c r="I469" s="8">
        <v>75.0</v>
      </c>
      <c r="J469" s="11">
        <f>G469*Scoring_Weights!B$2+H469*Scoring_Weights!B$3+I469*Scoring_Weights!B$4</f>
        <v>75.85</v>
      </c>
      <c r="K469" s="12">
        <v>0.84</v>
      </c>
      <c r="L469" s="12">
        <v>0.86</v>
      </c>
      <c r="M469" s="12">
        <f t="shared" si="2"/>
        <v>0.86</v>
      </c>
      <c r="N469" s="8" t="s">
        <v>794</v>
      </c>
      <c r="O469" s="13">
        <f>vlookup(N469,Interview_Slots!$A$1:$D$5,3,false)</f>
        <v>75</v>
      </c>
      <c r="P469" s="13">
        <f>vlookup(N469,Interview_Slots!$A$1:$D$5,4,false)</f>
        <v>85</v>
      </c>
      <c r="Q469" s="13" t="str">
        <f t="shared" si="3"/>
        <v>Not Eligible</v>
      </c>
    </row>
    <row r="470" ht="15.75" customHeight="1">
      <c r="A470" s="8" t="s">
        <v>925</v>
      </c>
      <c r="B470" s="8" t="s">
        <v>926</v>
      </c>
      <c r="C470" s="8" t="s">
        <v>20</v>
      </c>
      <c r="D470" s="9" t="str">
        <f>vlookup(C470,Dept_Lookup!A$1:B$17,2,false)</f>
        <v>Electronics</v>
      </c>
      <c r="E470" s="14">
        <v>45919.0</v>
      </c>
      <c r="F470" s="10">
        <f t="shared" si="4"/>
        <v>45919</v>
      </c>
      <c r="G470" s="8">
        <v>74.0</v>
      </c>
      <c r="H470" s="8">
        <v>85.0</v>
      </c>
      <c r="I470" s="8">
        <v>69.0</v>
      </c>
      <c r="J470" s="11">
        <f>G470*Scoring_Weights!B$2+H470*Scoring_Weights!B$3+I470*Scoring_Weights!B$4</f>
        <v>75.35</v>
      </c>
      <c r="K470" s="12">
        <v>0.91</v>
      </c>
      <c r="L470" s="12">
        <v>0.87</v>
      </c>
      <c r="M470" s="12">
        <f t="shared" si="2"/>
        <v>0.87</v>
      </c>
      <c r="N470" s="8" t="s">
        <v>794</v>
      </c>
      <c r="O470" s="13">
        <f>vlookup(N470,Interview_Slots!$A$1:$D$5,3,false)</f>
        <v>75</v>
      </c>
      <c r="P470" s="13">
        <f>vlookup(N470,Interview_Slots!$A$1:$D$5,4,false)</f>
        <v>85</v>
      </c>
      <c r="Q470" s="13" t="str">
        <f t="shared" si="3"/>
        <v>Eligible</v>
      </c>
      <c r="R470" s="7" t="s">
        <v>162</v>
      </c>
    </row>
    <row r="471" ht="15.75" customHeight="1">
      <c r="A471" s="8" t="s">
        <v>927</v>
      </c>
      <c r="B471" s="8" t="s">
        <v>370</v>
      </c>
      <c r="C471" s="8" t="s">
        <v>105</v>
      </c>
      <c r="D471" s="9" t="str">
        <f>vlookup(C471,Dept_Lookup!A$1:B$17,2,false)</f>
        <v>Civil</v>
      </c>
      <c r="E471" s="8" t="s">
        <v>92</v>
      </c>
      <c r="F471" s="10">
        <f t="shared" si="4"/>
        <v>45898</v>
      </c>
      <c r="G471" s="8">
        <v>87.0</v>
      </c>
      <c r="H471" s="8">
        <v>72.0</v>
      </c>
      <c r="I471" s="8">
        <v>74.0</v>
      </c>
      <c r="J471" s="11">
        <f>G471*Scoring_Weights!B$2+H471*Scoring_Weights!B$3+I471*Scoring_Weights!B$4</f>
        <v>75.25</v>
      </c>
      <c r="K471" s="12">
        <v>0.86</v>
      </c>
      <c r="L471" s="8">
        <v>0.98</v>
      </c>
      <c r="M471" s="12">
        <f t="shared" si="2"/>
        <v>0.98</v>
      </c>
      <c r="N471" s="8" t="s">
        <v>794</v>
      </c>
      <c r="O471" s="13">
        <f>vlookup(N471,Interview_Slots!$A$1:$D$5,3,false)</f>
        <v>75</v>
      </c>
      <c r="P471" s="13">
        <f>vlookup(N471,Interview_Slots!$A$1:$D$5,4,false)</f>
        <v>85</v>
      </c>
      <c r="Q471" s="13" t="str">
        <f t="shared" si="3"/>
        <v>Eligible</v>
      </c>
      <c r="R471" s="7" t="s">
        <v>162</v>
      </c>
    </row>
    <row r="472" ht="15.75" customHeight="1">
      <c r="A472" s="8" t="s">
        <v>928</v>
      </c>
      <c r="B472" s="8" t="s">
        <v>929</v>
      </c>
      <c r="C472" s="8" t="s">
        <v>38</v>
      </c>
      <c r="D472" s="9" t="str">
        <f>vlookup(C472,Dept_Lookup!A$1:B$17,2,false)</f>
        <v>Mechanical</v>
      </c>
      <c r="E472" s="14">
        <v>45900.0</v>
      </c>
      <c r="F472" s="10">
        <f t="shared" si="4"/>
        <v>45900</v>
      </c>
      <c r="G472" s="8">
        <v>55.0</v>
      </c>
      <c r="H472" s="8">
        <v>95.0</v>
      </c>
      <c r="I472" s="8">
        <v>67.0</v>
      </c>
      <c r="J472" s="11">
        <f>G472*Scoring_Weights!B$2+H472*Scoring_Weights!B$3+I472*Scoring_Weights!B$4</f>
        <v>75</v>
      </c>
      <c r="K472" s="12">
        <v>0.9</v>
      </c>
      <c r="L472" s="12">
        <v>0.82</v>
      </c>
      <c r="M472" s="12">
        <f t="shared" si="2"/>
        <v>0.82</v>
      </c>
      <c r="N472" s="8" t="s">
        <v>794</v>
      </c>
      <c r="O472" s="13">
        <f>vlookup(N472,Interview_Slots!$A$1:$D$5,3,false)</f>
        <v>75</v>
      </c>
      <c r="P472" s="13">
        <f>vlookup(N472,Interview_Slots!$A$1:$D$5,4,false)</f>
        <v>85</v>
      </c>
      <c r="Q472" s="13" t="str">
        <f t="shared" si="3"/>
        <v>Eligible</v>
      </c>
      <c r="R472" s="7" t="s">
        <v>162</v>
      </c>
    </row>
    <row r="473" ht="15.75" hidden="1" customHeight="1">
      <c r="B473" s="8" t="s">
        <v>930</v>
      </c>
      <c r="C473" s="8" t="s">
        <v>72</v>
      </c>
      <c r="D473" s="9" t="str">
        <f>vlookup(C473,Dept_Lookup!A$1:B$17,2,false)</f>
        <v>Mechanical</v>
      </c>
      <c r="E473" s="14">
        <v>45919.0</v>
      </c>
      <c r="F473" s="10">
        <f t="shared" si="4"/>
        <v>45919</v>
      </c>
      <c r="G473" s="8">
        <v>65.0</v>
      </c>
      <c r="H473" s="8">
        <v>82.0</v>
      </c>
      <c r="I473" s="8">
        <v>73.0</v>
      </c>
      <c r="J473" s="11">
        <f>G473*Scoring_Weights!B$2+H473*Scoring_Weights!B$3+I473*Scoring_Weights!B$4</f>
        <v>74.95</v>
      </c>
      <c r="K473" s="12">
        <v>0.94</v>
      </c>
      <c r="L473" s="8">
        <v>0.85</v>
      </c>
      <c r="M473" s="12">
        <f t="shared" si="2"/>
        <v>0.85</v>
      </c>
      <c r="N473" s="8" t="s">
        <v>794</v>
      </c>
      <c r="O473" s="13">
        <f>vlookup(N473,Interview_Slots!$A$1:$D$5,3,false)</f>
        <v>75</v>
      </c>
      <c r="P473" s="13">
        <f>vlookup(N473,Interview_Slots!$A$1:$D$5,4,false)</f>
        <v>85</v>
      </c>
      <c r="Q473" s="13" t="str">
        <f t="shared" si="3"/>
        <v>Not Eligible</v>
      </c>
    </row>
    <row r="474" ht="15.75" hidden="1" customHeight="1">
      <c r="B474" s="8" t="s">
        <v>931</v>
      </c>
      <c r="C474" s="8" t="s">
        <v>20</v>
      </c>
      <c r="D474" s="9" t="str">
        <f>vlookup(C474,Dept_Lookup!A$1:B$17,2,false)</f>
        <v>Electronics</v>
      </c>
      <c r="E474" s="14">
        <v>45870.0</v>
      </c>
      <c r="F474" s="10">
        <f t="shared" si="4"/>
        <v>45870</v>
      </c>
      <c r="G474" s="8">
        <v>91.0</v>
      </c>
      <c r="H474" s="8">
        <v>82.0</v>
      </c>
      <c r="I474" s="8">
        <v>65.0</v>
      </c>
      <c r="J474" s="11">
        <f>G474*Scoring_Weights!B$2+H474*Scoring_Weights!B$3+I474*Scoring_Weights!B$4</f>
        <v>74.85</v>
      </c>
      <c r="K474" s="12">
        <v>0.78</v>
      </c>
      <c r="L474" s="12">
        <v>0.96</v>
      </c>
      <c r="M474" s="12">
        <f t="shared" si="2"/>
        <v>0.96</v>
      </c>
      <c r="N474" s="8" t="s">
        <v>794</v>
      </c>
      <c r="O474" s="13">
        <f>vlookup(N474,Interview_Slots!$A$1:$D$5,3,false)</f>
        <v>75</v>
      </c>
      <c r="P474" s="13">
        <f>vlookup(N474,Interview_Slots!$A$1:$D$5,4,false)</f>
        <v>85</v>
      </c>
      <c r="Q474" s="13" t="str">
        <f t="shared" si="3"/>
        <v>Not Eligible</v>
      </c>
    </row>
    <row r="475" ht="15.75" hidden="1" customHeight="1">
      <c r="B475" s="8" t="s">
        <v>932</v>
      </c>
      <c r="C475" s="8" t="s">
        <v>47</v>
      </c>
      <c r="D475" s="9" t="str">
        <f>vlookup(C475,Dept_Lookup!A$1:B$17,2,false)</f>
        <v>Civil</v>
      </c>
      <c r="E475" s="9">
        <v>45872.0</v>
      </c>
      <c r="F475" s="10">
        <f t="shared" si="4"/>
        <v>45872</v>
      </c>
      <c r="G475" s="8">
        <v>66.0</v>
      </c>
      <c r="H475" s="8">
        <v>84.0</v>
      </c>
      <c r="I475" s="8">
        <v>70.0</v>
      </c>
      <c r="J475" s="11">
        <f>G475*Scoring_Weights!B$2+H475*Scoring_Weights!B$3+I475*Scoring_Weights!B$4</f>
        <v>74.3</v>
      </c>
      <c r="K475" s="12">
        <v>0.8</v>
      </c>
      <c r="L475" s="8">
        <v>0.86</v>
      </c>
      <c r="M475" s="12">
        <f t="shared" si="2"/>
        <v>0.86</v>
      </c>
      <c r="N475" s="8" t="s">
        <v>794</v>
      </c>
      <c r="O475" s="13">
        <f>vlookup(N475,Interview_Slots!$A$1:$D$5,3,false)</f>
        <v>75</v>
      </c>
      <c r="P475" s="13">
        <f>vlookup(N475,Interview_Slots!$A$1:$D$5,4,false)</f>
        <v>85</v>
      </c>
      <c r="Q475" s="13" t="str">
        <f t="shared" si="3"/>
        <v>Not Eligible</v>
      </c>
    </row>
    <row r="476" ht="15.75" hidden="1" customHeight="1">
      <c r="B476" s="8" t="s">
        <v>27</v>
      </c>
      <c r="C476" s="8" t="s">
        <v>28</v>
      </c>
      <c r="D476" s="9" t="str">
        <f>vlookup(C476,Dept_Lookup!A$1:B$17,2,false)</f>
        <v>Electronics</v>
      </c>
      <c r="E476" s="8" t="s">
        <v>92</v>
      </c>
      <c r="F476" s="10">
        <f t="shared" si="4"/>
        <v>45898</v>
      </c>
      <c r="G476" s="8">
        <v>88.0</v>
      </c>
      <c r="H476" s="8">
        <v>81.0</v>
      </c>
      <c r="I476" s="8">
        <v>64.0</v>
      </c>
      <c r="J476" s="11">
        <f>G476*Scoring_Weights!B$2+H476*Scoring_Weights!B$3+I476*Scoring_Weights!B$4</f>
        <v>73.55</v>
      </c>
      <c r="K476" s="12">
        <v>0.61</v>
      </c>
      <c r="L476" s="8">
        <v>70.0</v>
      </c>
      <c r="M476" s="12">
        <f t="shared" si="2"/>
        <v>0.7</v>
      </c>
      <c r="N476" s="8" t="s">
        <v>794</v>
      </c>
      <c r="O476" s="13">
        <f>vlookup(N476,Interview_Slots!$A$1:$D$5,3,false)</f>
        <v>75</v>
      </c>
      <c r="P476" s="13">
        <f>vlookup(N476,Interview_Slots!$A$1:$D$5,4,false)</f>
        <v>85</v>
      </c>
      <c r="Q476" s="13" t="str">
        <f t="shared" si="3"/>
        <v>Not Eligible</v>
      </c>
    </row>
    <row r="477" ht="15.75" hidden="1" customHeight="1">
      <c r="B477" s="8" t="s">
        <v>933</v>
      </c>
      <c r="C477" s="8" t="s">
        <v>41</v>
      </c>
      <c r="D477" s="9" t="str">
        <f>vlookup(C477,Dept_Lookup!A$1:B$17,2,false)</f>
        <v>Mechanical</v>
      </c>
      <c r="E477" s="14">
        <v>45856.0</v>
      </c>
      <c r="F477" s="10">
        <f t="shared" si="4"/>
        <v>45856</v>
      </c>
      <c r="G477" s="8">
        <v>97.0</v>
      </c>
      <c r="H477" s="8">
        <v>87.0</v>
      </c>
      <c r="I477" s="8">
        <v>57.0</v>
      </c>
      <c r="J477" s="11">
        <f>G477*Scoring_Weights!B$2+H477*Scoring_Weights!B$3+I477*Scoring_Weights!B$4</f>
        <v>73.5</v>
      </c>
      <c r="K477" s="12">
        <v>0.78</v>
      </c>
      <c r="L477" s="8">
        <v>0.81</v>
      </c>
      <c r="M477" s="12">
        <f t="shared" si="2"/>
        <v>0.81</v>
      </c>
      <c r="N477" s="8" t="s">
        <v>794</v>
      </c>
      <c r="O477" s="13">
        <f>vlookup(N477,Interview_Slots!$A$1:$D$5,3,false)</f>
        <v>75</v>
      </c>
      <c r="P477" s="13">
        <f>vlookup(N477,Interview_Slots!$A$1:$D$5,4,false)</f>
        <v>85</v>
      </c>
      <c r="Q477" s="13" t="str">
        <f t="shared" si="3"/>
        <v>Not Eligible</v>
      </c>
    </row>
    <row r="478" ht="15.75" hidden="1" customHeight="1">
      <c r="B478" s="8" t="s">
        <v>934</v>
      </c>
      <c r="C478" s="8" t="s">
        <v>41</v>
      </c>
      <c r="D478" s="9" t="str">
        <f>vlookup(C478,Dept_Lookup!A$1:B$17,2,false)</f>
        <v>Mechanical</v>
      </c>
      <c r="E478" s="14">
        <v>45880.0</v>
      </c>
      <c r="F478" s="10">
        <f t="shared" si="4"/>
        <v>45880</v>
      </c>
      <c r="G478" s="8">
        <v>97.0</v>
      </c>
      <c r="H478" s="8">
        <v>87.0</v>
      </c>
      <c r="I478" s="8">
        <v>57.0</v>
      </c>
      <c r="J478" s="11">
        <f>G478*Scoring_Weights!B$2+H478*Scoring_Weights!B$3+I478*Scoring_Weights!B$4</f>
        <v>73.5</v>
      </c>
      <c r="K478" s="12">
        <v>0.78</v>
      </c>
      <c r="L478" s="8">
        <v>0.81</v>
      </c>
      <c r="M478" s="12">
        <f t="shared" si="2"/>
        <v>0.81</v>
      </c>
      <c r="N478" s="8" t="s">
        <v>794</v>
      </c>
      <c r="O478" s="13">
        <f>vlookup(N478,Interview_Slots!$A$1:$D$5,3,false)</f>
        <v>75</v>
      </c>
      <c r="P478" s="13">
        <f>vlookup(N478,Interview_Slots!$A$1:$D$5,4,false)</f>
        <v>85</v>
      </c>
      <c r="Q478" s="13" t="str">
        <f t="shared" si="3"/>
        <v>Not Eligible</v>
      </c>
    </row>
    <row r="479" ht="15.75" hidden="1" customHeight="1">
      <c r="B479" s="8" t="s">
        <v>935</v>
      </c>
      <c r="C479" s="8" t="s">
        <v>161</v>
      </c>
      <c r="D479" s="9" t="str">
        <f>vlookup(C479,Dept_Lookup!A$1:B$17,2,false)</f>
        <v>Mechanical</v>
      </c>
      <c r="E479" s="14">
        <v>45919.0</v>
      </c>
      <c r="F479" s="10">
        <f t="shared" si="4"/>
        <v>45919</v>
      </c>
      <c r="G479" s="8">
        <v>75.0</v>
      </c>
      <c r="H479" s="8">
        <v>89.0</v>
      </c>
      <c r="I479" s="8">
        <v>62.0</v>
      </c>
      <c r="J479" s="11">
        <f>G479*Scoring_Weights!B$2+H479*Scoring_Weights!B$3+I479*Scoring_Weights!B$4</f>
        <v>73.4</v>
      </c>
      <c r="K479" s="12">
        <v>0.86</v>
      </c>
      <c r="L479" s="8">
        <v>0.94</v>
      </c>
      <c r="M479" s="12">
        <f t="shared" si="2"/>
        <v>0.94</v>
      </c>
      <c r="N479" s="8" t="s">
        <v>794</v>
      </c>
      <c r="O479" s="13">
        <f>vlookup(N479,Interview_Slots!$A$1:$D$5,3,false)</f>
        <v>75</v>
      </c>
      <c r="P479" s="13">
        <f>vlookup(N479,Interview_Slots!$A$1:$D$5,4,false)</f>
        <v>85</v>
      </c>
      <c r="Q479" s="13" t="str">
        <f t="shared" si="3"/>
        <v>Not Eligible</v>
      </c>
    </row>
    <row r="480" ht="15.75" hidden="1" customHeight="1">
      <c r="B480" s="8" t="s">
        <v>936</v>
      </c>
      <c r="C480" s="8" t="s">
        <v>25</v>
      </c>
      <c r="D480" s="9" t="str">
        <f>vlookup(C480,Dept_Lookup!A$1:B$17,2,false)</f>
        <v>Computer Science</v>
      </c>
      <c r="E480" s="14">
        <v>45919.0</v>
      </c>
      <c r="F480" s="10">
        <f t="shared" si="4"/>
        <v>45919</v>
      </c>
      <c r="G480" s="8">
        <v>84.0</v>
      </c>
      <c r="H480" s="8">
        <v>79.0</v>
      </c>
      <c r="I480" s="8">
        <v>66.0</v>
      </c>
      <c r="J480" s="11">
        <f>G480*Scoring_Weights!B$2+H480*Scoring_Weights!B$3+I480*Scoring_Weights!B$4</f>
        <v>73.25</v>
      </c>
      <c r="K480" s="12">
        <v>0.77</v>
      </c>
      <c r="L480" s="8">
        <v>0.96</v>
      </c>
      <c r="M480" s="12">
        <f t="shared" si="2"/>
        <v>0.96</v>
      </c>
      <c r="N480" s="8" t="s">
        <v>794</v>
      </c>
      <c r="O480" s="13">
        <f>vlookup(N480,Interview_Slots!$A$1:$D$5,3,false)</f>
        <v>75</v>
      </c>
      <c r="P480" s="13">
        <f>vlookup(N480,Interview_Slots!$A$1:$D$5,4,false)</f>
        <v>85</v>
      </c>
      <c r="Q480" s="13" t="str">
        <f t="shared" si="3"/>
        <v>Not Eligible</v>
      </c>
    </row>
    <row r="481" ht="15.75" hidden="1" customHeight="1">
      <c r="B481" s="8" t="s">
        <v>937</v>
      </c>
      <c r="C481" s="8" t="s">
        <v>25</v>
      </c>
      <c r="D481" s="9" t="str">
        <f>vlookup(C481,Dept_Lookup!A$1:B$17,2,false)</f>
        <v>Computer Science</v>
      </c>
      <c r="E481" s="9">
        <v>45887.0</v>
      </c>
      <c r="F481" s="10">
        <f t="shared" si="4"/>
        <v>45887</v>
      </c>
      <c r="G481" s="8">
        <v>81.0</v>
      </c>
      <c r="H481" s="8">
        <v>66.0</v>
      </c>
      <c r="I481" s="8">
        <v>75.0</v>
      </c>
      <c r="J481" s="11">
        <f>G481*Scoring_Weights!B$2+H481*Scoring_Weights!B$3+I481*Scoring_Weights!B$4</f>
        <v>72.75</v>
      </c>
      <c r="K481" s="12">
        <v>0.94</v>
      </c>
      <c r="L481" s="8">
        <v>0.9</v>
      </c>
      <c r="M481" s="12">
        <f t="shared" si="2"/>
        <v>0.9</v>
      </c>
      <c r="N481" s="8" t="s">
        <v>794</v>
      </c>
      <c r="O481" s="13">
        <f>vlookup(N481,Interview_Slots!$A$1:$D$5,3,false)</f>
        <v>75</v>
      </c>
      <c r="P481" s="13">
        <f>vlookup(N481,Interview_Slots!$A$1:$D$5,4,false)</f>
        <v>85</v>
      </c>
      <c r="Q481" s="13" t="str">
        <f t="shared" si="3"/>
        <v>Not Eligible</v>
      </c>
    </row>
    <row r="482" ht="15.75" hidden="1" customHeight="1">
      <c r="B482" s="8" t="s">
        <v>938</v>
      </c>
      <c r="C482" s="8" t="s">
        <v>50</v>
      </c>
      <c r="D482" s="9" t="str">
        <f>vlookup(C482,Dept_Lookup!A$1:B$17,2,false)</f>
        <v>Electronics</v>
      </c>
      <c r="E482" s="14">
        <v>45880.0</v>
      </c>
      <c r="F482" s="10">
        <f t="shared" si="4"/>
        <v>45880</v>
      </c>
      <c r="G482" s="8">
        <v>98.0</v>
      </c>
      <c r="H482" s="8">
        <v>65.0</v>
      </c>
      <c r="I482" s="8">
        <v>70.0</v>
      </c>
      <c r="J482" s="11">
        <f>G482*Scoring_Weights!B$2+H482*Scoring_Weights!B$3+I482*Scoring_Weights!B$4</f>
        <v>72.45</v>
      </c>
      <c r="K482" s="12">
        <v>0.91</v>
      </c>
      <c r="L482" s="12">
        <v>0.98</v>
      </c>
      <c r="M482" s="12">
        <f t="shared" si="2"/>
        <v>0.98</v>
      </c>
      <c r="N482" s="8" t="s">
        <v>794</v>
      </c>
      <c r="O482" s="13">
        <f>vlookup(N482,Interview_Slots!$A$1:$D$5,3,false)</f>
        <v>75</v>
      </c>
      <c r="P482" s="13">
        <f>vlookup(N482,Interview_Slots!$A$1:$D$5,4,false)</f>
        <v>85</v>
      </c>
      <c r="Q482" s="13" t="str">
        <f t="shared" si="3"/>
        <v>Not Eligible</v>
      </c>
    </row>
    <row r="483" ht="15.75" hidden="1" customHeight="1">
      <c r="B483" s="8" t="s">
        <v>939</v>
      </c>
      <c r="C483" s="8" t="s">
        <v>105</v>
      </c>
      <c r="D483" s="9" t="str">
        <f>vlookup(C483,Dept_Lookup!A$1:B$17,2,false)</f>
        <v>Civil</v>
      </c>
      <c r="E483" s="14">
        <v>45877.0</v>
      </c>
      <c r="F483" s="10">
        <f t="shared" si="4"/>
        <v>45877</v>
      </c>
      <c r="G483" s="8">
        <v>98.0</v>
      </c>
      <c r="H483" s="8">
        <v>65.0</v>
      </c>
      <c r="I483" s="8">
        <v>70.0</v>
      </c>
      <c r="J483" s="11">
        <f>G483*Scoring_Weights!B$2+H483*Scoring_Weights!B$3+I483*Scoring_Weights!B$4</f>
        <v>72.45</v>
      </c>
      <c r="K483" s="12">
        <v>0.91</v>
      </c>
      <c r="L483" s="12">
        <v>0.98</v>
      </c>
      <c r="M483" s="12">
        <f t="shared" si="2"/>
        <v>0.98</v>
      </c>
      <c r="N483" s="8" t="s">
        <v>794</v>
      </c>
      <c r="O483" s="13">
        <f>vlookup(N483,Interview_Slots!$A$1:$D$5,3,false)</f>
        <v>75</v>
      </c>
      <c r="P483" s="13">
        <f>vlookup(N483,Interview_Slots!$A$1:$D$5,4,false)</f>
        <v>85</v>
      </c>
      <c r="Q483" s="13" t="str">
        <f t="shared" si="3"/>
        <v>Not Eligible</v>
      </c>
    </row>
    <row r="484" ht="15.75" hidden="1" customHeight="1">
      <c r="B484" s="8" t="s">
        <v>940</v>
      </c>
      <c r="C484" s="8" t="s">
        <v>108</v>
      </c>
      <c r="D484" s="9" t="str">
        <f>vlookup(C484,Dept_Lookup!A$1:B$17,2,false)</f>
        <v>Civil</v>
      </c>
      <c r="E484" s="14">
        <v>45870.0</v>
      </c>
      <c r="F484" s="10">
        <f t="shared" si="4"/>
        <v>45870</v>
      </c>
      <c r="G484" s="8">
        <v>65.0</v>
      </c>
      <c r="H484" s="8">
        <v>76.0</v>
      </c>
      <c r="I484" s="8">
        <v>72.0</v>
      </c>
      <c r="J484" s="11">
        <f>G484*Scoring_Weights!B$2+H484*Scoring_Weights!B$3+I484*Scoring_Weights!B$4</f>
        <v>72.35</v>
      </c>
      <c r="K484" s="12">
        <v>0.88</v>
      </c>
      <c r="L484" s="8">
        <v>0.84</v>
      </c>
      <c r="M484" s="12">
        <f t="shared" si="2"/>
        <v>0.84</v>
      </c>
      <c r="N484" s="8" t="s">
        <v>794</v>
      </c>
      <c r="O484" s="13">
        <f>vlookup(N484,Interview_Slots!$A$1:$D$5,3,false)</f>
        <v>75</v>
      </c>
      <c r="P484" s="13">
        <f>vlookup(N484,Interview_Slots!$A$1:$D$5,4,false)</f>
        <v>85</v>
      </c>
      <c r="Q484" s="13" t="str">
        <f t="shared" si="3"/>
        <v>Not Eligible</v>
      </c>
    </row>
    <row r="485" ht="15.75" hidden="1" customHeight="1">
      <c r="B485" s="8" t="s">
        <v>941</v>
      </c>
      <c r="C485" s="8" t="s">
        <v>161</v>
      </c>
      <c r="D485" s="9" t="str">
        <f>vlookup(C485,Dept_Lookup!A$1:B$17,2,false)</f>
        <v>Mechanical</v>
      </c>
      <c r="E485" s="9">
        <v>45866.0</v>
      </c>
      <c r="F485" s="10">
        <f t="shared" si="4"/>
        <v>45866</v>
      </c>
      <c r="G485" s="8">
        <v>95.0</v>
      </c>
      <c r="H485" s="8">
        <v>55.0</v>
      </c>
      <c r="I485" s="8">
        <v>77.0</v>
      </c>
      <c r="J485" s="11">
        <f>G485*Scoring_Weights!B$2+H485*Scoring_Weights!B$3+I485*Scoring_Weights!B$4</f>
        <v>72</v>
      </c>
      <c r="K485" s="12">
        <v>0.77</v>
      </c>
      <c r="L485" s="8">
        <v>0.76</v>
      </c>
      <c r="M485" s="12">
        <f t="shared" si="2"/>
        <v>0.76</v>
      </c>
      <c r="N485" s="8" t="s">
        <v>794</v>
      </c>
      <c r="O485" s="13">
        <f>vlookup(N485,Interview_Slots!$A$1:$D$5,3,false)</f>
        <v>75</v>
      </c>
      <c r="P485" s="13">
        <f>vlookup(N485,Interview_Slots!$A$1:$D$5,4,false)</f>
        <v>85</v>
      </c>
      <c r="Q485" s="13" t="str">
        <f t="shared" si="3"/>
        <v>Not Eligible</v>
      </c>
    </row>
    <row r="486" ht="15.75" hidden="1" customHeight="1">
      <c r="B486" s="8" t="s">
        <v>942</v>
      </c>
      <c r="C486" s="8" t="s">
        <v>38</v>
      </c>
      <c r="D486" s="9" t="str">
        <f>vlookup(C486,Dept_Lookup!A$1:B$17,2,false)</f>
        <v>Mechanical</v>
      </c>
      <c r="E486" s="14">
        <v>45880.0</v>
      </c>
      <c r="F486" s="10">
        <f t="shared" si="4"/>
        <v>45880</v>
      </c>
      <c r="G486" s="8">
        <v>92.0</v>
      </c>
      <c r="H486" s="8">
        <v>58.0</v>
      </c>
      <c r="I486" s="8">
        <v>75.0</v>
      </c>
      <c r="J486" s="11">
        <f>G486*Scoring_Weights!B$2+H486*Scoring_Weights!B$3+I486*Scoring_Weights!B$4</f>
        <v>71.6</v>
      </c>
      <c r="K486" s="12">
        <v>0.92</v>
      </c>
      <c r="L486" s="8">
        <v>0.75</v>
      </c>
      <c r="M486" s="12">
        <f t="shared" si="2"/>
        <v>0.75</v>
      </c>
      <c r="N486" s="8" t="s">
        <v>794</v>
      </c>
      <c r="O486" s="13">
        <f>vlookup(N486,Interview_Slots!$A$1:$D$5,3,false)</f>
        <v>75</v>
      </c>
      <c r="P486" s="13">
        <f>vlookup(N486,Interview_Slots!$A$1:$D$5,4,false)</f>
        <v>85</v>
      </c>
      <c r="Q486" s="13" t="str">
        <f t="shared" si="3"/>
        <v>Not Eligible</v>
      </c>
    </row>
    <row r="487" ht="15.75" hidden="1" customHeight="1">
      <c r="B487" s="8" t="s">
        <v>943</v>
      </c>
      <c r="C487" s="8" t="s">
        <v>35</v>
      </c>
      <c r="D487" s="9" t="str">
        <f>vlookup(C487,Dept_Lookup!A$1:B$17,2,false)</f>
        <v>Electronics</v>
      </c>
      <c r="E487" s="14">
        <v>45882.0</v>
      </c>
      <c r="F487" s="10">
        <f t="shared" si="4"/>
        <v>45882</v>
      </c>
      <c r="G487" s="8">
        <v>61.0</v>
      </c>
      <c r="H487" s="8">
        <v>68.0</v>
      </c>
      <c r="I487" s="8">
        <v>77.0</v>
      </c>
      <c r="J487" s="11">
        <f>G487*Scoring_Weights!B$2+H487*Scoring_Weights!B$3+I487*Scoring_Weights!B$4</f>
        <v>71.45</v>
      </c>
      <c r="K487" s="12">
        <v>0.8</v>
      </c>
      <c r="L487" s="8">
        <v>0.82</v>
      </c>
      <c r="M487" s="12">
        <f t="shared" si="2"/>
        <v>0.82</v>
      </c>
      <c r="N487" s="8" t="s">
        <v>794</v>
      </c>
      <c r="O487" s="13">
        <f>vlookup(N487,Interview_Slots!$A$1:$D$5,3,false)</f>
        <v>75</v>
      </c>
      <c r="P487" s="13">
        <f>vlookup(N487,Interview_Slots!$A$1:$D$5,4,false)</f>
        <v>85</v>
      </c>
      <c r="Q487" s="13" t="str">
        <f t="shared" si="3"/>
        <v>Not Eligible</v>
      </c>
    </row>
    <row r="488" ht="15.75" hidden="1" customHeight="1">
      <c r="B488" s="8" t="s">
        <v>944</v>
      </c>
      <c r="C488" s="8" t="s">
        <v>102</v>
      </c>
      <c r="D488" s="9" t="str">
        <f>vlookup(C488,Dept_Lookup!A$1:B$17,2,false)</f>
        <v>Computer Science</v>
      </c>
      <c r="E488" s="9">
        <v>45878.0</v>
      </c>
      <c r="F488" s="10">
        <f t="shared" si="4"/>
        <v>45878</v>
      </c>
      <c r="G488" s="8">
        <v>73.0</v>
      </c>
      <c r="H488" s="8">
        <v>58.0</v>
      </c>
      <c r="I488" s="8">
        <v>80.0</v>
      </c>
      <c r="J488" s="11">
        <f>G488*Scoring_Weights!B$2+H488*Scoring_Weights!B$3+I488*Scoring_Weights!B$4</f>
        <v>71.25</v>
      </c>
      <c r="K488" s="12">
        <v>0.89</v>
      </c>
      <c r="L488" s="8">
        <v>0.89</v>
      </c>
      <c r="M488" s="12">
        <f t="shared" si="2"/>
        <v>0.89</v>
      </c>
      <c r="N488" s="8" t="s">
        <v>794</v>
      </c>
      <c r="O488" s="13">
        <f>vlookup(N488,Interview_Slots!$A$1:$D$5,3,false)</f>
        <v>75</v>
      </c>
      <c r="P488" s="13">
        <f>vlookup(N488,Interview_Slots!$A$1:$D$5,4,false)</f>
        <v>85</v>
      </c>
      <c r="Q488" s="13" t="str">
        <f t="shared" si="3"/>
        <v>Not Eligible</v>
      </c>
    </row>
    <row r="489" ht="15.75" hidden="1" customHeight="1">
      <c r="B489" s="8" t="s">
        <v>945</v>
      </c>
      <c r="C489" s="8" t="s">
        <v>28</v>
      </c>
      <c r="D489" s="9" t="str">
        <f>vlookup(C489,Dept_Lookup!A$1:B$17,2,false)</f>
        <v>Electronics</v>
      </c>
      <c r="E489" s="14">
        <v>45877.0</v>
      </c>
      <c r="F489" s="10">
        <f t="shared" si="4"/>
        <v>45877</v>
      </c>
      <c r="G489" s="8">
        <v>91.0</v>
      </c>
      <c r="H489" s="8">
        <v>80.0</v>
      </c>
      <c r="I489" s="8">
        <v>59.0</v>
      </c>
      <c r="J489" s="11">
        <f>G489*Scoring_Weights!B$2+H489*Scoring_Weights!B$3+I489*Scoring_Weights!B$4</f>
        <v>71.15</v>
      </c>
      <c r="K489" s="12">
        <v>0.93</v>
      </c>
      <c r="L489" s="8">
        <v>0.77</v>
      </c>
      <c r="M489" s="12">
        <f t="shared" si="2"/>
        <v>0.77</v>
      </c>
      <c r="N489" s="8" t="s">
        <v>794</v>
      </c>
      <c r="O489" s="13">
        <f>vlookup(N489,Interview_Slots!$A$1:$D$5,3,false)</f>
        <v>75</v>
      </c>
      <c r="P489" s="13">
        <f>vlookup(N489,Interview_Slots!$A$1:$D$5,4,false)</f>
        <v>85</v>
      </c>
      <c r="Q489" s="13" t="str">
        <f t="shared" si="3"/>
        <v>Not Eligible</v>
      </c>
    </row>
    <row r="490" ht="15.75" hidden="1" customHeight="1">
      <c r="B490" s="8" t="s">
        <v>946</v>
      </c>
      <c r="C490" s="8" t="s">
        <v>25</v>
      </c>
      <c r="D490" s="9" t="str">
        <f>vlookup(C490,Dept_Lookup!A$1:B$17,2,false)</f>
        <v>Computer Science</v>
      </c>
      <c r="E490" s="14">
        <v>45865.0</v>
      </c>
      <c r="F490" s="10">
        <f t="shared" si="4"/>
        <v>45865</v>
      </c>
      <c r="G490" s="8">
        <v>90.0</v>
      </c>
      <c r="H490" s="8">
        <v>63.0</v>
      </c>
      <c r="I490" s="8">
        <v>71.0</v>
      </c>
      <c r="J490" s="11">
        <f>G490*Scoring_Weights!B$2+H490*Scoring_Weights!B$3+I490*Scoring_Weights!B$4</f>
        <v>71.05</v>
      </c>
      <c r="K490" s="12">
        <v>0.87</v>
      </c>
      <c r="L490" s="12">
        <v>0.77</v>
      </c>
      <c r="M490" s="12">
        <f t="shared" si="2"/>
        <v>0.77</v>
      </c>
      <c r="N490" s="8" t="s">
        <v>794</v>
      </c>
      <c r="O490" s="13">
        <f>vlookup(N490,Interview_Slots!$A$1:$D$5,3,false)</f>
        <v>75</v>
      </c>
      <c r="P490" s="13">
        <f>vlookup(N490,Interview_Slots!$A$1:$D$5,4,false)</f>
        <v>85</v>
      </c>
      <c r="Q490" s="13" t="str">
        <f t="shared" si="3"/>
        <v>Not Eligible</v>
      </c>
    </row>
    <row r="491" ht="15.75" hidden="1" customHeight="1">
      <c r="B491" s="8" t="s">
        <v>947</v>
      </c>
      <c r="C491" s="8" t="s">
        <v>35</v>
      </c>
      <c r="D491" s="9" t="str">
        <f>vlookup(C491,Dept_Lookup!A$1:B$17,2,false)</f>
        <v>Electronics</v>
      </c>
      <c r="E491" s="9">
        <v>45893.0</v>
      </c>
      <c r="F491" s="10">
        <f t="shared" si="4"/>
        <v>45893</v>
      </c>
      <c r="G491" s="8">
        <v>63.0</v>
      </c>
      <c r="H491" s="8">
        <v>57.0</v>
      </c>
      <c r="I491" s="8">
        <v>83.0</v>
      </c>
      <c r="J491" s="11">
        <f>G491*Scoring_Weights!B$2+H491*Scoring_Weights!B$3+I491*Scoring_Weights!B$4</f>
        <v>70.9</v>
      </c>
      <c r="K491" s="12">
        <v>0.91</v>
      </c>
      <c r="L491" s="12">
        <v>0.88</v>
      </c>
      <c r="M491" s="12">
        <f t="shared" si="2"/>
        <v>0.88</v>
      </c>
      <c r="N491" s="8" t="s">
        <v>794</v>
      </c>
      <c r="O491" s="13">
        <f>vlookup(N491,Interview_Slots!$A$1:$D$5,3,false)</f>
        <v>75</v>
      </c>
      <c r="P491" s="13">
        <f>vlookup(N491,Interview_Slots!$A$1:$D$5,4,false)</f>
        <v>85</v>
      </c>
      <c r="Q491" s="13" t="str">
        <f t="shared" si="3"/>
        <v>Not Eligible</v>
      </c>
    </row>
    <row r="492" ht="15.75" hidden="1" customHeight="1">
      <c r="B492" s="8" t="s">
        <v>948</v>
      </c>
      <c r="C492" s="8" t="s">
        <v>44</v>
      </c>
      <c r="D492" s="9" t="str">
        <f>vlookup(C492,Dept_Lookup!A$1:B$17,2,false)</f>
        <v>Computer Science</v>
      </c>
      <c r="E492" s="9">
        <v>45870.0</v>
      </c>
      <c r="F492" s="10">
        <f t="shared" si="4"/>
        <v>45870</v>
      </c>
      <c r="G492" s="8">
        <v>58.0</v>
      </c>
      <c r="H492" s="8">
        <v>59.0</v>
      </c>
      <c r="I492" s="8">
        <v>83.0</v>
      </c>
      <c r="J492" s="11">
        <f>G492*Scoring_Weights!B$2+H492*Scoring_Weights!B$3+I492*Scoring_Weights!B$4</f>
        <v>70.85</v>
      </c>
      <c r="K492" s="12">
        <v>0.8</v>
      </c>
      <c r="L492" s="8">
        <v>0.84</v>
      </c>
      <c r="M492" s="12">
        <f t="shared" si="2"/>
        <v>0.84</v>
      </c>
      <c r="N492" s="8" t="s">
        <v>794</v>
      </c>
      <c r="O492" s="13">
        <f>vlookup(N492,Interview_Slots!$A$1:$D$5,3,false)</f>
        <v>75</v>
      </c>
      <c r="P492" s="13">
        <f>vlookup(N492,Interview_Slots!$A$1:$D$5,4,false)</f>
        <v>85</v>
      </c>
      <c r="Q492" s="13" t="str">
        <f t="shared" si="3"/>
        <v>Not Eligible</v>
      </c>
    </row>
    <row r="493" ht="15.75" hidden="1" customHeight="1">
      <c r="B493" s="8" t="s">
        <v>567</v>
      </c>
      <c r="C493" s="8" t="s">
        <v>161</v>
      </c>
      <c r="D493" s="9" t="str">
        <f>vlookup(C493,Dept_Lookup!A$1:B$17,2,false)</f>
        <v>Mechanical</v>
      </c>
      <c r="E493" s="14">
        <v>45854.0</v>
      </c>
      <c r="F493" s="10">
        <f t="shared" si="4"/>
        <v>45854</v>
      </c>
      <c r="G493" s="8">
        <v>88.0</v>
      </c>
      <c r="H493" s="8">
        <v>84.0</v>
      </c>
      <c r="I493" s="8">
        <v>56.0</v>
      </c>
      <c r="J493" s="11">
        <f>G493*Scoring_Weights!B$2+H493*Scoring_Weights!B$3+I493*Scoring_Weights!B$4</f>
        <v>70.6</v>
      </c>
      <c r="K493" s="12">
        <v>0.76</v>
      </c>
      <c r="L493" s="8">
        <v>0.81</v>
      </c>
      <c r="M493" s="12">
        <f t="shared" si="2"/>
        <v>0.81</v>
      </c>
      <c r="N493" s="8" t="s">
        <v>794</v>
      </c>
      <c r="O493" s="13">
        <f>vlookup(N493,Interview_Slots!$A$1:$D$5,3,false)</f>
        <v>75</v>
      </c>
      <c r="P493" s="13">
        <f>vlookup(N493,Interview_Slots!$A$1:$D$5,4,false)</f>
        <v>85</v>
      </c>
      <c r="Q493" s="13" t="str">
        <f t="shared" si="3"/>
        <v>Not Eligible</v>
      </c>
    </row>
    <row r="494" ht="15.75" hidden="1" customHeight="1">
      <c r="B494" s="8" t="s">
        <v>949</v>
      </c>
      <c r="C494" s="8" t="s">
        <v>105</v>
      </c>
      <c r="D494" s="9" t="str">
        <f>vlookup(C494,Dept_Lookup!A$1:B$17,2,false)</f>
        <v>Civil</v>
      </c>
      <c r="E494" s="14">
        <v>45865.0</v>
      </c>
      <c r="F494" s="10">
        <f t="shared" si="4"/>
        <v>45865</v>
      </c>
      <c r="G494" s="8">
        <v>58.0</v>
      </c>
      <c r="H494" s="8">
        <v>68.0</v>
      </c>
      <c r="I494" s="8">
        <v>76.0</v>
      </c>
      <c r="J494" s="11">
        <f>G494*Scoring_Weights!B$2+H494*Scoring_Weights!B$3+I494*Scoring_Weights!B$4</f>
        <v>70.5</v>
      </c>
      <c r="K494" s="12">
        <v>0.9</v>
      </c>
      <c r="L494" s="8">
        <v>0.8</v>
      </c>
      <c r="M494" s="12">
        <f t="shared" si="2"/>
        <v>0.8</v>
      </c>
      <c r="N494" s="8" t="s">
        <v>794</v>
      </c>
      <c r="O494" s="13">
        <f>vlookup(N494,Interview_Slots!$A$1:$D$5,3,false)</f>
        <v>75</v>
      </c>
      <c r="P494" s="13">
        <f>vlookup(N494,Interview_Slots!$A$1:$D$5,4,false)</f>
        <v>85</v>
      </c>
      <c r="Q494" s="13" t="str">
        <f t="shared" si="3"/>
        <v>Not Eligible</v>
      </c>
    </row>
    <row r="495" ht="15.75" hidden="1" customHeight="1">
      <c r="B495" s="8" t="s">
        <v>950</v>
      </c>
      <c r="C495" s="8" t="s">
        <v>35</v>
      </c>
      <c r="D495" s="9" t="str">
        <f>vlookup(C495,Dept_Lookup!A$1:B$17,2,false)</f>
        <v>Electronics</v>
      </c>
      <c r="E495" s="14">
        <v>45900.0</v>
      </c>
      <c r="F495" s="10">
        <f t="shared" si="4"/>
        <v>45900</v>
      </c>
      <c r="G495" s="8">
        <v>84.0</v>
      </c>
      <c r="H495" s="8">
        <v>71.0</v>
      </c>
      <c r="I495" s="8">
        <v>66.0</v>
      </c>
      <c r="J495" s="11">
        <f>G495*Scoring_Weights!B$2+H495*Scoring_Weights!B$3+I495*Scoring_Weights!B$4</f>
        <v>70.45</v>
      </c>
      <c r="K495" s="12">
        <v>0.84</v>
      </c>
      <c r="L495" s="8">
        <v>1.0</v>
      </c>
      <c r="M495" s="12">
        <f t="shared" si="2"/>
        <v>1</v>
      </c>
      <c r="N495" s="8" t="s">
        <v>794</v>
      </c>
      <c r="O495" s="13">
        <f>vlookup(N495,Interview_Slots!$A$1:$D$5,3,false)</f>
        <v>75</v>
      </c>
      <c r="P495" s="13">
        <f>vlookup(N495,Interview_Slots!$A$1:$D$5,4,false)</f>
        <v>85</v>
      </c>
      <c r="Q495" s="13" t="str">
        <f t="shared" si="3"/>
        <v>Not Eligible</v>
      </c>
    </row>
    <row r="496" ht="15.75" hidden="1" customHeight="1">
      <c r="B496" s="8" t="s">
        <v>951</v>
      </c>
      <c r="C496" s="8" t="s">
        <v>28</v>
      </c>
      <c r="D496" s="9" t="str">
        <f>vlookup(C496,Dept_Lookup!A$1:B$17,2,false)</f>
        <v>Electronics</v>
      </c>
      <c r="E496" s="14">
        <v>45913.0</v>
      </c>
      <c r="F496" s="10">
        <f t="shared" si="4"/>
        <v>45913</v>
      </c>
      <c r="G496" s="8">
        <v>69.0</v>
      </c>
      <c r="H496" s="8">
        <v>90.0</v>
      </c>
      <c r="I496" s="8">
        <v>57.0</v>
      </c>
      <c r="J496" s="11">
        <f>G496*Scoring_Weights!B$2+H496*Scoring_Weights!B$3+I496*Scoring_Weights!B$4</f>
        <v>70.35</v>
      </c>
      <c r="K496" s="12">
        <v>0.82</v>
      </c>
      <c r="L496" s="8">
        <v>0.91</v>
      </c>
      <c r="M496" s="12">
        <f t="shared" si="2"/>
        <v>0.91</v>
      </c>
      <c r="N496" s="8" t="s">
        <v>794</v>
      </c>
      <c r="O496" s="13">
        <f>vlookup(N496,Interview_Slots!$A$1:$D$5,3,false)</f>
        <v>75</v>
      </c>
      <c r="P496" s="13">
        <f>vlookup(N496,Interview_Slots!$A$1:$D$5,4,false)</f>
        <v>85</v>
      </c>
      <c r="Q496" s="13" t="str">
        <f t="shared" si="3"/>
        <v>Not Eligible</v>
      </c>
    </row>
    <row r="497" ht="15.75" hidden="1" customHeight="1">
      <c r="B497" s="8" t="s">
        <v>952</v>
      </c>
      <c r="C497" s="8" t="s">
        <v>25</v>
      </c>
      <c r="D497" s="9" t="str">
        <f>vlookup(C497,Dept_Lookup!A$1:B$17,2,false)</f>
        <v>Computer Science</v>
      </c>
      <c r="E497" s="14">
        <v>45877.0</v>
      </c>
      <c r="F497" s="10">
        <f t="shared" si="4"/>
        <v>45877</v>
      </c>
      <c r="G497" s="8">
        <v>58.0</v>
      </c>
      <c r="H497" s="8">
        <v>80.0</v>
      </c>
      <c r="I497" s="8">
        <v>67.0</v>
      </c>
      <c r="J497" s="11">
        <f>G497*Scoring_Weights!B$2+H497*Scoring_Weights!B$3+I497*Scoring_Weights!B$4</f>
        <v>70.2</v>
      </c>
      <c r="K497" s="12">
        <v>0.93</v>
      </c>
      <c r="L497" s="8">
        <v>0.8</v>
      </c>
      <c r="M497" s="12">
        <f t="shared" si="2"/>
        <v>0.8</v>
      </c>
      <c r="N497" s="8" t="s">
        <v>794</v>
      </c>
      <c r="O497" s="13">
        <f>vlookup(N497,Interview_Slots!$A$1:$D$5,3,false)</f>
        <v>75</v>
      </c>
      <c r="P497" s="13">
        <f>vlookup(N497,Interview_Slots!$A$1:$D$5,4,false)</f>
        <v>85</v>
      </c>
      <c r="Q497" s="13" t="str">
        <f t="shared" si="3"/>
        <v>Not Eligible</v>
      </c>
    </row>
    <row r="498" ht="15.75" hidden="1" customHeight="1">
      <c r="B498" s="8" t="s">
        <v>953</v>
      </c>
      <c r="C498" s="8" t="s">
        <v>57</v>
      </c>
      <c r="D498" s="9" t="str">
        <f>vlookup(C498,Dept_Lookup!A$1:B$17,2,false)</f>
        <v>Computer Science</v>
      </c>
      <c r="E498" s="14">
        <v>45880.0</v>
      </c>
      <c r="F498" s="10">
        <f t="shared" si="4"/>
        <v>45880</v>
      </c>
      <c r="G498" s="8">
        <v>82.0</v>
      </c>
      <c r="H498" s="8">
        <v>70.0</v>
      </c>
      <c r="I498" s="8">
        <v>66.0</v>
      </c>
      <c r="J498" s="11">
        <f>G498*Scoring_Weights!B$2+H498*Scoring_Weights!B$3+I498*Scoring_Weights!B$4</f>
        <v>69.8</v>
      </c>
      <c r="K498" s="12">
        <v>0.94</v>
      </c>
      <c r="L498" s="12">
        <v>0.78</v>
      </c>
      <c r="M498" s="12">
        <f t="shared" si="2"/>
        <v>0.78</v>
      </c>
      <c r="N498" s="8" t="s">
        <v>794</v>
      </c>
      <c r="O498" s="13">
        <f>vlookup(N498,Interview_Slots!$A$1:$D$5,3,false)</f>
        <v>75</v>
      </c>
      <c r="P498" s="13">
        <f>vlookup(N498,Interview_Slots!$A$1:$D$5,4,false)</f>
        <v>85</v>
      </c>
      <c r="Q498" s="13" t="str">
        <f t="shared" si="3"/>
        <v>Not Eligible</v>
      </c>
    </row>
    <row r="499" ht="15.75" hidden="1" customHeight="1">
      <c r="B499" s="8" t="s">
        <v>954</v>
      </c>
      <c r="C499" s="8" t="s">
        <v>50</v>
      </c>
      <c r="D499" s="9" t="str">
        <f>vlookup(C499,Dept_Lookup!A$1:B$17,2,false)</f>
        <v>Electronics</v>
      </c>
      <c r="E499" s="14">
        <v>45913.0</v>
      </c>
      <c r="F499" s="10">
        <f t="shared" si="4"/>
        <v>45913</v>
      </c>
      <c r="G499" s="8">
        <v>55.0</v>
      </c>
      <c r="H499" s="8">
        <v>94.0</v>
      </c>
      <c r="I499" s="8">
        <v>57.0</v>
      </c>
      <c r="J499" s="11">
        <f>G499*Scoring_Weights!B$2+H499*Scoring_Weights!B$3+I499*Scoring_Weights!B$4</f>
        <v>69.65</v>
      </c>
      <c r="K499" s="12">
        <v>0.87</v>
      </c>
      <c r="L499" s="8">
        <v>0.75</v>
      </c>
      <c r="M499" s="12">
        <f t="shared" si="2"/>
        <v>0.75</v>
      </c>
      <c r="N499" s="8" t="s">
        <v>794</v>
      </c>
      <c r="O499" s="13">
        <f>vlookup(N499,Interview_Slots!$A$1:$D$5,3,false)</f>
        <v>75</v>
      </c>
      <c r="P499" s="13">
        <f>vlookup(N499,Interview_Slots!$A$1:$D$5,4,false)</f>
        <v>85</v>
      </c>
      <c r="Q499" s="13" t="str">
        <f t="shared" si="3"/>
        <v>Not Eligible</v>
      </c>
    </row>
    <row r="500" ht="15.75" hidden="1" customHeight="1">
      <c r="B500" s="8" t="s">
        <v>955</v>
      </c>
      <c r="C500" s="8" t="s">
        <v>41</v>
      </c>
      <c r="D500" s="9" t="str">
        <f>vlookup(C500,Dept_Lookup!A$1:B$17,2,false)</f>
        <v>Mechanical</v>
      </c>
      <c r="E500" s="9">
        <v>45870.0</v>
      </c>
      <c r="F500" s="10">
        <f t="shared" si="4"/>
        <v>45870</v>
      </c>
      <c r="G500" s="8">
        <v>89.0</v>
      </c>
      <c r="H500" s="8">
        <v>62.0</v>
      </c>
      <c r="I500" s="8">
        <v>69.0</v>
      </c>
      <c r="J500" s="11">
        <f>G500*Scoring_Weights!B$2+H500*Scoring_Weights!B$3+I500*Scoring_Weights!B$4</f>
        <v>69.55</v>
      </c>
      <c r="K500" s="12">
        <v>0.85</v>
      </c>
      <c r="L500" s="8">
        <v>0.76</v>
      </c>
      <c r="M500" s="12">
        <f t="shared" si="2"/>
        <v>0.76</v>
      </c>
      <c r="N500" s="8" t="s">
        <v>794</v>
      </c>
      <c r="O500" s="13">
        <f>vlookup(N500,Interview_Slots!$A$1:$D$5,3,false)</f>
        <v>75</v>
      </c>
      <c r="P500" s="13">
        <f>vlookup(N500,Interview_Slots!$A$1:$D$5,4,false)</f>
        <v>85</v>
      </c>
      <c r="Q500" s="13" t="str">
        <f t="shared" si="3"/>
        <v>Not Eligible</v>
      </c>
    </row>
    <row r="501" ht="15.75" hidden="1" customHeight="1">
      <c r="B501" s="8" t="s">
        <v>956</v>
      </c>
      <c r="C501" s="8" t="s">
        <v>41</v>
      </c>
      <c r="D501" s="9" t="str">
        <f>vlookup(C501,Dept_Lookup!A$1:B$17,2,false)</f>
        <v>Mechanical</v>
      </c>
      <c r="E501" s="14">
        <v>45880.0</v>
      </c>
      <c r="F501" s="10">
        <f t="shared" si="4"/>
        <v>45880</v>
      </c>
      <c r="G501" s="8">
        <v>92.0</v>
      </c>
      <c r="H501" s="8">
        <v>76.0</v>
      </c>
      <c r="I501" s="8">
        <v>57.0</v>
      </c>
      <c r="J501" s="11">
        <f>G501*Scoring_Weights!B$2+H501*Scoring_Weights!B$3+I501*Scoring_Weights!B$4</f>
        <v>68.9</v>
      </c>
      <c r="K501" s="12">
        <v>0.84</v>
      </c>
      <c r="L501" s="8">
        <v>0.79</v>
      </c>
      <c r="M501" s="12">
        <f t="shared" si="2"/>
        <v>0.79</v>
      </c>
      <c r="N501" s="8" t="s">
        <v>794</v>
      </c>
      <c r="O501" s="13">
        <f>vlookup(N501,Interview_Slots!$A$1:$D$5,3,false)</f>
        <v>75</v>
      </c>
      <c r="P501" s="13">
        <f>vlookup(N501,Interview_Slots!$A$1:$D$5,4,false)</f>
        <v>85</v>
      </c>
      <c r="Q501" s="13" t="str">
        <f t="shared" si="3"/>
        <v>Not Eligible</v>
      </c>
    </row>
    <row r="502" ht="15.75" hidden="1" customHeight="1">
      <c r="B502" s="8" t="s">
        <v>957</v>
      </c>
      <c r="C502" s="8" t="s">
        <v>47</v>
      </c>
      <c r="D502" s="9" t="str">
        <f>vlookup(C502,Dept_Lookup!A$1:B$17,2,false)</f>
        <v>Civil</v>
      </c>
      <c r="E502" s="14">
        <v>45865.0</v>
      </c>
      <c r="F502" s="10">
        <f t="shared" si="4"/>
        <v>45865</v>
      </c>
      <c r="G502" s="8">
        <v>80.0</v>
      </c>
      <c r="H502" s="8">
        <v>60.0</v>
      </c>
      <c r="I502" s="8">
        <v>70.0</v>
      </c>
      <c r="J502" s="11">
        <f>G502*Scoring_Weights!B$2+H502*Scoring_Weights!B$3+I502*Scoring_Weights!B$4</f>
        <v>68</v>
      </c>
      <c r="K502" s="12">
        <v>0.91</v>
      </c>
      <c r="L502" s="12">
        <v>0.93</v>
      </c>
      <c r="M502" s="12">
        <f t="shared" si="2"/>
        <v>0.93</v>
      </c>
      <c r="N502" s="8" t="s">
        <v>794</v>
      </c>
      <c r="O502" s="13">
        <f>vlookup(N502,Interview_Slots!$A$1:$D$5,3,false)</f>
        <v>75</v>
      </c>
      <c r="P502" s="13">
        <f>vlookup(N502,Interview_Slots!$A$1:$D$5,4,false)</f>
        <v>85</v>
      </c>
      <c r="Q502" s="13" t="str">
        <f t="shared" si="3"/>
        <v>Not Eligible</v>
      </c>
    </row>
    <row r="503" ht="15.75" hidden="1" customHeight="1">
      <c r="B503" s="8" t="s">
        <v>958</v>
      </c>
      <c r="C503" s="8" t="s">
        <v>83</v>
      </c>
      <c r="D503" s="9" t="str">
        <f>vlookup(C503,Dept_Lookup!A$1:B$17,2,false)</f>
        <v>Civil</v>
      </c>
      <c r="E503" s="9">
        <v>45887.0</v>
      </c>
      <c r="F503" s="10">
        <f t="shared" si="4"/>
        <v>45887</v>
      </c>
      <c r="G503" s="8">
        <v>67.0</v>
      </c>
      <c r="H503" s="8">
        <v>77.0</v>
      </c>
      <c r="I503" s="8">
        <v>61.0</v>
      </c>
      <c r="J503" s="11">
        <f>G503*Scoring_Weights!B$2+H503*Scoring_Weights!B$3+I503*Scoring_Weights!B$4</f>
        <v>67.5</v>
      </c>
      <c r="K503" s="12">
        <v>0.75</v>
      </c>
      <c r="L503" s="8">
        <v>0.86</v>
      </c>
      <c r="M503" s="12">
        <f t="shared" si="2"/>
        <v>0.86</v>
      </c>
      <c r="N503" s="8" t="s">
        <v>794</v>
      </c>
      <c r="O503" s="13">
        <f>vlookup(N503,Interview_Slots!$A$1:$D$5,3,false)</f>
        <v>75</v>
      </c>
      <c r="P503" s="13">
        <f>vlookup(N503,Interview_Slots!$A$1:$D$5,4,false)</f>
        <v>85</v>
      </c>
      <c r="Q503" s="13" t="str">
        <f t="shared" si="3"/>
        <v>Not Eligible</v>
      </c>
    </row>
    <row r="504" ht="15.75" hidden="1" customHeight="1">
      <c r="B504" s="8" t="s">
        <v>959</v>
      </c>
      <c r="C504" s="8" t="s">
        <v>28</v>
      </c>
      <c r="D504" s="9" t="str">
        <f>vlookup(C504,Dept_Lookup!A$1:B$17,2,false)</f>
        <v>Electronics</v>
      </c>
      <c r="E504" s="14">
        <v>45900.0</v>
      </c>
      <c r="F504" s="10">
        <f t="shared" si="4"/>
        <v>45900</v>
      </c>
      <c r="G504" s="8">
        <v>77.0</v>
      </c>
      <c r="H504" s="8">
        <v>59.0</v>
      </c>
      <c r="I504" s="8">
        <v>70.0</v>
      </c>
      <c r="J504" s="11">
        <f>G504*Scoring_Weights!B$2+H504*Scoring_Weights!B$3+I504*Scoring_Weights!B$4</f>
        <v>67.2</v>
      </c>
      <c r="K504" s="12">
        <v>0.87</v>
      </c>
      <c r="L504" s="8">
        <v>0.9</v>
      </c>
      <c r="M504" s="12">
        <f t="shared" si="2"/>
        <v>0.9</v>
      </c>
      <c r="N504" s="8" t="s">
        <v>794</v>
      </c>
      <c r="O504" s="13">
        <f>vlookup(N504,Interview_Slots!$A$1:$D$5,3,false)</f>
        <v>75</v>
      </c>
      <c r="P504" s="13">
        <f>vlookup(N504,Interview_Slots!$A$1:$D$5,4,false)</f>
        <v>85</v>
      </c>
      <c r="Q504" s="13" t="str">
        <f t="shared" si="3"/>
        <v>Not Eligible</v>
      </c>
    </row>
    <row r="505" ht="15.75" hidden="1" customHeight="1">
      <c r="B505" s="8" t="s">
        <v>960</v>
      </c>
      <c r="C505" s="8" t="s">
        <v>83</v>
      </c>
      <c r="D505" s="9" t="str">
        <f>vlookup(C505,Dept_Lookup!A$1:B$17,2,false)</f>
        <v>Civil</v>
      </c>
      <c r="E505" s="9">
        <v>45866.0</v>
      </c>
      <c r="F505" s="10">
        <f t="shared" si="4"/>
        <v>45866</v>
      </c>
      <c r="G505" s="8">
        <v>77.0</v>
      </c>
      <c r="H505" s="8">
        <v>67.0</v>
      </c>
      <c r="I505" s="8">
        <v>63.0</v>
      </c>
      <c r="J505" s="11">
        <f>G505*Scoring_Weights!B$2+H505*Scoring_Weights!B$3+I505*Scoring_Weights!B$4</f>
        <v>66.5</v>
      </c>
      <c r="K505" s="12">
        <v>0.8</v>
      </c>
      <c r="L505" s="8">
        <v>0.95</v>
      </c>
      <c r="M505" s="12">
        <f t="shared" si="2"/>
        <v>0.95</v>
      </c>
      <c r="N505" s="8" t="s">
        <v>794</v>
      </c>
      <c r="O505" s="13">
        <f>vlookup(N505,Interview_Slots!$A$1:$D$5,3,false)</f>
        <v>75</v>
      </c>
      <c r="P505" s="13">
        <f>vlookup(N505,Interview_Slots!$A$1:$D$5,4,false)</f>
        <v>85</v>
      </c>
      <c r="Q505" s="13" t="str">
        <f t="shared" si="3"/>
        <v>Not Eligible</v>
      </c>
    </row>
    <row r="506" ht="15.75" hidden="1" customHeight="1">
      <c r="B506" s="8" t="s">
        <v>961</v>
      </c>
      <c r="C506" s="8" t="s">
        <v>47</v>
      </c>
      <c r="D506" s="9" t="str">
        <f>vlookup(C506,Dept_Lookup!A$1:B$17,2,false)</f>
        <v>Civil</v>
      </c>
      <c r="E506" s="14">
        <v>45913.0</v>
      </c>
      <c r="F506" s="10">
        <f t="shared" si="4"/>
        <v>45913</v>
      </c>
      <c r="G506" s="8">
        <v>70.0</v>
      </c>
      <c r="H506" s="8">
        <v>60.0</v>
      </c>
      <c r="I506" s="8">
        <v>68.0</v>
      </c>
      <c r="J506" s="11">
        <f>G506*Scoring_Weights!B$2+H506*Scoring_Weights!B$3+I506*Scoring_Weights!B$4</f>
        <v>65.5</v>
      </c>
      <c r="K506" s="12">
        <v>0.88</v>
      </c>
      <c r="L506" s="8">
        <v>0.9</v>
      </c>
      <c r="M506" s="12">
        <f t="shared" si="2"/>
        <v>0.9</v>
      </c>
      <c r="N506" s="8" t="s">
        <v>794</v>
      </c>
      <c r="O506" s="13">
        <f>vlookup(N506,Interview_Slots!$A$1:$D$5,3,false)</f>
        <v>75</v>
      </c>
      <c r="P506" s="13">
        <f>vlookup(N506,Interview_Slots!$A$1:$D$5,4,false)</f>
        <v>85</v>
      </c>
      <c r="Q506" s="13" t="str">
        <f t="shared" si="3"/>
        <v>Not Eligible</v>
      </c>
    </row>
    <row r="507" ht="15.75" hidden="1" customHeight="1">
      <c r="B507" s="8" t="s">
        <v>962</v>
      </c>
      <c r="C507" s="8" t="s">
        <v>50</v>
      </c>
      <c r="D507" s="9" t="str">
        <f>vlookup(C507,Dept_Lookup!A$1:B$17,2,false)</f>
        <v>Electronics</v>
      </c>
      <c r="E507" s="9">
        <v>45893.0</v>
      </c>
      <c r="F507" s="10">
        <f t="shared" si="4"/>
        <v>45893</v>
      </c>
      <c r="G507" s="8">
        <v>82.0</v>
      </c>
      <c r="H507" s="8">
        <v>60.0</v>
      </c>
      <c r="I507" s="8">
        <v>63.0</v>
      </c>
      <c r="J507" s="11">
        <f>G507*Scoring_Weights!B$2+H507*Scoring_Weights!B$3+I507*Scoring_Weights!B$4</f>
        <v>64.8</v>
      </c>
      <c r="K507" s="12">
        <v>0.86</v>
      </c>
      <c r="L507" s="8">
        <v>0.98</v>
      </c>
      <c r="M507" s="12">
        <f t="shared" si="2"/>
        <v>0.98</v>
      </c>
      <c r="N507" s="8" t="s">
        <v>794</v>
      </c>
      <c r="O507" s="13">
        <f>vlookup(N507,Interview_Slots!$A$1:$D$5,3,false)</f>
        <v>75</v>
      </c>
      <c r="P507" s="13">
        <f>vlookup(N507,Interview_Slots!$A$1:$D$5,4,false)</f>
        <v>85</v>
      </c>
      <c r="Q507" s="13" t="str">
        <f t="shared" si="3"/>
        <v>Not Eligible</v>
      </c>
    </row>
    <row r="508" ht="15.75" hidden="1" customHeight="1">
      <c r="B508" s="8" t="s">
        <v>963</v>
      </c>
      <c r="C508" s="8" t="s">
        <v>44</v>
      </c>
      <c r="D508" s="9" t="str">
        <f>vlookup(C508,Dept_Lookup!A$1:B$17,2,false)</f>
        <v>Computer Science</v>
      </c>
      <c r="E508" s="14">
        <v>45913.0</v>
      </c>
      <c r="F508" s="10">
        <f t="shared" si="4"/>
        <v>45913</v>
      </c>
      <c r="G508" s="8">
        <v>90.0</v>
      </c>
      <c r="H508" s="8">
        <v>63.0</v>
      </c>
      <c r="I508" s="8">
        <v>58.0</v>
      </c>
      <c r="J508" s="11">
        <f>G508*Scoring_Weights!B$2+H508*Scoring_Weights!B$3+I508*Scoring_Weights!B$4</f>
        <v>64.55</v>
      </c>
      <c r="K508" s="12">
        <v>0.94</v>
      </c>
      <c r="L508" s="8">
        <v>0.95</v>
      </c>
      <c r="M508" s="12">
        <f t="shared" si="2"/>
        <v>0.95</v>
      </c>
      <c r="N508" s="8" t="s">
        <v>794</v>
      </c>
      <c r="O508" s="13">
        <f>vlookup(N508,Interview_Slots!$A$1:$D$5,3,false)</f>
        <v>75</v>
      </c>
      <c r="P508" s="13">
        <f>vlookup(N508,Interview_Slots!$A$1:$D$5,4,false)</f>
        <v>85</v>
      </c>
      <c r="Q508" s="13" t="str">
        <f t="shared" si="3"/>
        <v>Not Eligible</v>
      </c>
    </row>
    <row r="509" ht="15.75" hidden="1" customHeight="1">
      <c r="B509" s="8" t="s">
        <v>964</v>
      </c>
      <c r="C509" s="8" t="s">
        <v>44</v>
      </c>
      <c r="D509" s="9" t="str">
        <f>vlookup(C509,Dept_Lookup!A$1:B$17,2,false)</f>
        <v>Computer Science</v>
      </c>
      <c r="E509" s="9">
        <v>45860.0</v>
      </c>
      <c r="F509" s="10">
        <f t="shared" si="4"/>
        <v>45860</v>
      </c>
      <c r="G509" s="8">
        <v>62.0</v>
      </c>
      <c r="H509" s="8">
        <v>73.0</v>
      </c>
      <c r="I509" s="8">
        <v>57.0</v>
      </c>
      <c r="J509" s="11">
        <f>G509*Scoring_Weights!B$2+H509*Scoring_Weights!B$3+I509*Scoring_Weights!B$4</f>
        <v>63.35</v>
      </c>
      <c r="K509" s="12">
        <v>0.9</v>
      </c>
      <c r="L509" s="8">
        <v>0.79</v>
      </c>
      <c r="M509" s="12">
        <f t="shared" si="2"/>
        <v>0.79</v>
      </c>
      <c r="N509" s="8" t="s">
        <v>794</v>
      </c>
      <c r="O509" s="13">
        <f>vlookup(N509,Interview_Slots!$A$1:$D$5,3,false)</f>
        <v>75</v>
      </c>
      <c r="P509" s="13">
        <f>vlookup(N509,Interview_Slots!$A$1:$D$5,4,false)</f>
        <v>85</v>
      </c>
      <c r="Q509" s="13" t="str">
        <f t="shared" si="3"/>
        <v>Not Eligible</v>
      </c>
    </row>
    <row r="510" ht="15.75" hidden="1" customHeight="1">
      <c r="B510" s="8" t="s">
        <v>965</v>
      </c>
      <c r="C510" s="8" t="s">
        <v>28</v>
      </c>
      <c r="D510" s="9" t="str">
        <f>vlookup(C510,Dept_Lookup!A$1:B$17,2,false)</f>
        <v>Electronics</v>
      </c>
      <c r="E510" s="9">
        <v>45878.0</v>
      </c>
      <c r="F510" s="10">
        <f t="shared" si="4"/>
        <v>45878</v>
      </c>
      <c r="G510" s="8">
        <v>75.0</v>
      </c>
      <c r="H510" s="8">
        <v>55.0</v>
      </c>
      <c r="I510" s="8">
        <v>63.0</v>
      </c>
      <c r="J510" s="11">
        <f>G510*Scoring_Weights!B$2+H510*Scoring_Weights!B$3+I510*Scoring_Weights!B$4</f>
        <v>62</v>
      </c>
      <c r="K510" s="12">
        <v>0.87</v>
      </c>
      <c r="L510" s="8">
        <v>0.9</v>
      </c>
      <c r="M510" s="12">
        <f t="shared" si="2"/>
        <v>0.9</v>
      </c>
      <c r="N510" s="8" t="s">
        <v>794</v>
      </c>
      <c r="O510" s="13">
        <f>vlookup(N510,Interview_Slots!$A$1:$D$5,3,false)</f>
        <v>75</v>
      </c>
      <c r="P510" s="13">
        <f>vlookup(N510,Interview_Slots!$A$1:$D$5,4,false)</f>
        <v>85</v>
      </c>
      <c r="Q510" s="13" t="str">
        <f t="shared" si="3"/>
        <v>Not Eligible</v>
      </c>
    </row>
    <row r="511" ht="15.75" hidden="1" customHeight="1">
      <c r="B511" s="8" t="s">
        <v>966</v>
      </c>
      <c r="C511" s="8" t="s">
        <v>47</v>
      </c>
      <c r="D511" s="9" t="str">
        <f>vlookup(C511,Dept_Lookup!A$1:B$17,2,false)</f>
        <v>Civil</v>
      </c>
      <c r="E511" s="14">
        <v>45865.0</v>
      </c>
      <c r="F511" s="10">
        <f t="shared" si="4"/>
        <v>45865</v>
      </c>
      <c r="G511" s="8">
        <v>63.0</v>
      </c>
      <c r="H511" s="8">
        <v>55.0</v>
      </c>
      <c r="I511" s="8">
        <v>56.0</v>
      </c>
      <c r="J511" s="11">
        <f>G511*Scoring_Weights!B$2+H511*Scoring_Weights!B$3+I511*Scoring_Weights!B$4</f>
        <v>56.7</v>
      </c>
      <c r="K511" s="12">
        <v>0.83</v>
      </c>
      <c r="L511" s="8">
        <v>0.84</v>
      </c>
      <c r="M511" s="12">
        <f t="shared" si="2"/>
        <v>0.84</v>
      </c>
      <c r="N511" s="8" t="s">
        <v>794</v>
      </c>
      <c r="O511" s="13">
        <f>vlookup(N511,Interview_Slots!$A$1:$D$5,3,false)</f>
        <v>75</v>
      </c>
      <c r="P511" s="13">
        <f>vlookup(N511,Interview_Slots!$A$1:$D$5,4,false)</f>
        <v>85</v>
      </c>
      <c r="Q511" s="13" t="str">
        <f t="shared" si="3"/>
        <v>Not Eligible</v>
      </c>
    </row>
    <row r="512" ht="15.75" customHeight="1">
      <c r="F512" s="17"/>
      <c r="J512" s="12"/>
      <c r="K512" s="12"/>
      <c r="M512" s="18"/>
    </row>
    <row r="513" ht="15.75" customHeight="1">
      <c r="F513" s="17"/>
      <c r="J513" s="12"/>
      <c r="K513" s="12"/>
      <c r="M513" s="18"/>
    </row>
    <row r="514" ht="15.75" customHeight="1">
      <c r="F514" s="17"/>
      <c r="J514" s="18"/>
      <c r="K514" s="18"/>
      <c r="M514" s="18"/>
    </row>
    <row r="515" ht="15.75" customHeight="1">
      <c r="F515" s="17"/>
      <c r="J515" s="18"/>
      <c r="K515" s="18"/>
      <c r="M515" s="18"/>
    </row>
    <row r="516" ht="15.75" customHeight="1">
      <c r="F516" s="17"/>
      <c r="J516" s="12"/>
      <c r="K516" s="12"/>
      <c r="L516" s="12"/>
      <c r="M516" s="18"/>
    </row>
    <row r="517" ht="15.75" customHeight="1">
      <c r="F517" s="17"/>
      <c r="J517" s="12"/>
      <c r="K517" s="12"/>
      <c r="M517" s="18"/>
    </row>
    <row r="518" ht="15.75" customHeight="1">
      <c r="F518" s="17"/>
      <c r="J518" s="18"/>
      <c r="K518" s="18"/>
      <c r="L518" s="12"/>
      <c r="M518" s="18"/>
    </row>
    <row r="519" ht="15.75" customHeight="1">
      <c r="F519" s="17"/>
      <c r="J519" s="18"/>
      <c r="K519" s="18"/>
      <c r="M519" s="18"/>
    </row>
    <row r="520" ht="15.75" customHeight="1">
      <c r="F520" s="17"/>
      <c r="J520" s="18"/>
      <c r="K520" s="18"/>
      <c r="M520" s="18"/>
    </row>
    <row r="521" ht="15.75" customHeight="1">
      <c r="F521" s="17"/>
      <c r="J521" s="18"/>
      <c r="K521" s="18"/>
      <c r="M521" s="18"/>
    </row>
    <row r="522" ht="15.75" customHeight="1">
      <c r="F522" s="17"/>
      <c r="J522" s="12"/>
      <c r="K522" s="12"/>
      <c r="M522" s="18"/>
    </row>
    <row r="523" ht="15.75" customHeight="1">
      <c r="F523" s="17"/>
      <c r="J523" s="18"/>
      <c r="K523" s="18"/>
      <c r="M523" s="18"/>
    </row>
    <row r="524" ht="15.75" customHeight="1">
      <c r="F524" s="17"/>
      <c r="J524" s="18"/>
      <c r="K524" s="18"/>
      <c r="M524" s="18"/>
    </row>
    <row r="525" ht="15.75" customHeight="1">
      <c r="F525" s="17"/>
      <c r="J525" s="12"/>
      <c r="K525" s="12"/>
      <c r="M525" s="18"/>
    </row>
    <row r="526" ht="15.75" customHeight="1">
      <c r="F526" s="17"/>
      <c r="J526" s="12"/>
      <c r="K526" s="12"/>
      <c r="M526" s="18"/>
    </row>
    <row r="527" ht="15.75" customHeight="1">
      <c r="F527" s="17"/>
      <c r="J527" s="18"/>
      <c r="K527" s="18"/>
      <c r="M527" s="18"/>
    </row>
    <row r="528" ht="15.75" customHeight="1">
      <c r="F528" s="17"/>
      <c r="J528" s="18"/>
      <c r="K528" s="18"/>
      <c r="M528" s="18"/>
    </row>
    <row r="529" ht="15.75" customHeight="1">
      <c r="F529" s="17"/>
      <c r="J529" s="12"/>
      <c r="K529" s="12"/>
      <c r="M529" s="18"/>
    </row>
    <row r="530" ht="15.75" customHeight="1">
      <c r="F530" s="17"/>
      <c r="J530" s="12"/>
      <c r="K530" s="12"/>
      <c r="M530" s="18"/>
    </row>
    <row r="531" ht="15.75" customHeight="1">
      <c r="F531" s="17"/>
      <c r="J531" s="18"/>
      <c r="K531" s="18"/>
      <c r="L531" s="15"/>
      <c r="M531" s="18"/>
    </row>
    <row r="532" ht="15.75" customHeight="1">
      <c r="F532" s="17"/>
      <c r="J532" s="18"/>
      <c r="K532" s="18"/>
      <c r="M532" s="18"/>
    </row>
    <row r="533" ht="15.75" customHeight="1">
      <c r="F533" s="17"/>
      <c r="J533" s="18"/>
      <c r="K533" s="18"/>
      <c r="M533" s="18"/>
    </row>
    <row r="534" ht="15.75" customHeight="1">
      <c r="F534" s="17"/>
      <c r="J534" s="18"/>
      <c r="K534" s="18"/>
      <c r="L534" s="12"/>
      <c r="M534" s="18"/>
    </row>
    <row r="535" ht="15.75" customHeight="1">
      <c r="F535" s="17"/>
      <c r="J535" s="18"/>
      <c r="K535" s="18"/>
      <c r="M535" s="18"/>
    </row>
    <row r="536" ht="15.75" customHeight="1">
      <c r="F536" s="17"/>
      <c r="J536" s="18"/>
      <c r="K536" s="18"/>
      <c r="M536" s="18"/>
    </row>
    <row r="537" ht="15.75" customHeight="1">
      <c r="F537" s="17"/>
      <c r="J537" s="18"/>
      <c r="K537" s="18"/>
      <c r="M537" s="18"/>
    </row>
    <row r="538" ht="15.75" customHeight="1">
      <c r="F538" s="17"/>
      <c r="J538" s="18"/>
      <c r="K538" s="18"/>
      <c r="M538" s="18"/>
    </row>
    <row r="539" ht="15.75" customHeight="1">
      <c r="F539" s="17"/>
      <c r="J539" s="18"/>
      <c r="K539" s="18"/>
      <c r="L539" s="15"/>
      <c r="M539" s="18"/>
    </row>
    <row r="540" ht="15.75" customHeight="1">
      <c r="F540" s="17"/>
      <c r="J540" s="18"/>
      <c r="K540" s="18"/>
      <c r="M540" s="18"/>
    </row>
    <row r="541" ht="15.75" customHeight="1">
      <c r="F541" s="17"/>
      <c r="J541" s="18"/>
      <c r="K541" s="18"/>
      <c r="M541" s="18"/>
    </row>
    <row r="542" ht="15.75" customHeight="1">
      <c r="F542" s="17"/>
      <c r="J542" s="18"/>
      <c r="K542" s="18"/>
      <c r="M542" s="18"/>
    </row>
    <row r="543" ht="15.75" customHeight="1">
      <c r="F543" s="17"/>
      <c r="J543" s="18"/>
      <c r="K543" s="18"/>
      <c r="M543" s="18"/>
    </row>
    <row r="544" ht="15.75" customHeight="1">
      <c r="F544" s="17"/>
      <c r="J544" s="18"/>
      <c r="K544" s="18"/>
      <c r="L544" s="15"/>
      <c r="M544" s="18"/>
    </row>
    <row r="545" ht="15.75" customHeight="1">
      <c r="F545" s="17"/>
      <c r="J545" s="18"/>
      <c r="K545" s="18"/>
      <c r="M545" s="18"/>
    </row>
    <row r="546" ht="15.75" customHeight="1">
      <c r="F546" s="17"/>
      <c r="J546" s="18"/>
      <c r="K546" s="18"/>
      <c r="L546" s="12"/>
      <c r="M546" s="18"/>
    </row>
    <row r="547" ht="15.75" customHeight="1">
      <c r="F547" s="17"/>
      <c r="J547" s="18"/>
      <c r="K547" s="18"/>
      <c r="M547" s="18"/>
    </row>
    <row r="548" ht="15.75" customHeight="1">
      <c r="F548" s="17"/>
      <c r="J548" s="18"/>
      <c r="K548" s="18"/>
      <c r="L548" s="15"/>
      <c r="M548" s="18"/>
    </row>
    <row r="549" ht="15.75" customHeight="1">
      <c r="F549" s="17"/>
      <c r="J549" s="18"/>
      <c r="K549" s="18"/>
      <c r="L549" s="12"/>
      <c r="M549" s="18"/>
    </row>
    <row r="550" ht="15.75" customHeight="1">
      <c r="F550" s="17"/>
      <c r="J550" s="18"/>
      <c r="K550" s="18"/>
      <c r="M550" s="18"/>
    </row>
    <row r="551" ht="15.75" customHeight="1">
      <c r="F551" s="17"/>
      <c r="J551" s="18"/>
      <c r="K551" s="18"/>
      <c r="M551" s="18"/>
    </row>
    <row r="552" ht="15.75" customHeight="1">
      <c r="F552" s="17"/>
      <c r="J552" s="18"/>
      <c r="K552" s="18"/>
      <c r="M552" s="18"/>
    </row>
    <row r="553" ht="15.75" customHeight="1">
      <c r="F553" s="17"/>
      <c r="J553" s="18"/>
      <c r="K553" s="18"/>
      <c r="M553" s="18"/>
    </row>
    <row r="554" ht="15.75" customHeight="1">
      <c r="F554" s="17"/>
      <c r="J554" s="18"/>
      <c r="K554" s="18"/>
      <c r="L554" s="15"/>
      <c r="M554" s="18"/>
    </row>
    <row r="555" ht="15.75" customHeight="1">
      <c r="F555" s="17"/>
      <c r="J555" s="18"/>
      <c r="K555" s="18"/>
      <c r="M555" s="18"/>
    </row>
    <row r="556" ht="15.75" customHeight="1">
      <c r="F556" s="17"/>
      <c r="J556" s="18"/>
      <c r="K556" s="18"/>
      <c r="L556" s="12"/>
      <c r="M556" s="18"/>
    </row>
    <row r="557" ht="15.75" customHeight="1">
      <c r="F557" s="17"/>
      <c r="J557" s="18"/>
      <c r="K557" s="18"/>
      <c r="M557" s="18"/>
    </row>
    <row r="558" ht="15.75" customHeight="1">
      <c r="F558" s="17"/>
      <c r="J558" s="18"/>
      <c r="K558" s="18"/>
      <c r="L558" s="12"/>
      <c r="M558" s="18"/>
    </row>
    <row r="559" ht="15.75" customHeight="1">
      <c r="F559" s="17"/>
      <c r="J559" s="18"/>
      <c r="K559" s="18"/>
      <c r="L559" s="12"/>
      <c r="M559" s="18"/>
    </row>
    <row r="560" ht="15.75" customHeight="1">
      <c r="F560" s="17"/>
      <c r="J560" s="18"/>
      <c r="K560" s="18"/>
      <c r="M560" s="18"/>
    </row>
    <row r="561" ht="15.75" customHeight="1">
      <c r="F561" s="17"/>
      <c r="J561" s="18"/>
      <c r="K561" s="18"/>
      <c r="M561" s="18"/>
    </row>
    <row r="562" ht="15.75" customHeight="1">
      <c r="F562" s="17"/>
      <c r="J562" s="18"/>
      <c r="K562" s="18"/>
      <c r="M562" s="18"/>
    </row>
    <row r="563" ht="15.75" customHeight="1">
      <c r="F563" s="17"/>
      <c r="J563" s="18"/>
      <c r="K563" s="18"/>
      <c r="M563" s="18"/>
    </row>
    <row r="564" ht="15.75" customHeight="1">
      <c r="F564" s="17"/>
      <c r="J564" s="18"/>
      <c r="K564" s="18"/>
      <c r="M564" s="18"/>
    </row>
    <row r="565" ht="15.75" customHeight="1">
      <c r="F565" s="17"/>
      <c r="J565" s="18"/>
      <c r="K565" s="18"/>
      <c r="M565" s="18"/>
    </row>
    <row r="566" ht="15.75" customHeight="1">
      <c r="F566" s="17"/>
      <c r="J566" s="18"/>
      <c r="K566" s="18"/>
      <c r="L566" s="12"/>
      <c r="M566" s="18"/>
    </row>
    <row r="567" ht="15.75" customHeight="1">
      <c r="F567" s="17"/>
      <c r="J567" s="18"/>
      <c r="K567" s="18"/>
      <c r="M567" s="18"/>
    </row>
    <row r="568" ht="15.75" customHeight="1">
      <c r="F568" s="17"/>
      <c r="J568" s="18"/>
      <c r="K568" s="18"/>
      <c r="M568" s="18"/>
    </row>
    <row r="569" ht="15.75" customHeight="1">
      <c r="F569" s="17"/>
      <c r="J569" s="18"/>
      <c r="K569" s="18"/>
      <c r="M569" s="18"/>
    </row>
    <row r="570" ht="15.75" customHeight="1">
      <c r="F570" s="17"/>
      <c r="J570" s="18"/>
      <c r="K570" s="18"/>
      <c r="M570" s="18"/>
    </row>
    <row r="571" ht="15.75" customHeight="1">
      <c r="F571" s="17"/>
      <c r="J571" s="18"/>
      <c r="K571" s="18"/>
      <c r="M571" s="18"/>
    </row>
    <row r="572" ht="15.75" customHeight="1">
      <c r="F572" s="17"/>
      <c r="J572" s="18"/>
      <c r="K572" s="18"/>
      <c r="M572" s="18"/>
    </row>
    <row r="573" ht="15.75" customHeight="1">
      <c r="F573" s="17"/>
      <c r="J573" s="18"/>
      <c r="K573" s="18"/>
      <c r="M573" s="18"/>
    </row>
    <row r="574" ht="15.75" customHeight="1">
      <c r="F574" s="17"/>
      <c r="J574" s="18"/>
      <c r="K574" s="18"/>
      <c r="M574" s="18"/>
    </row>
    <row r="575" ht="15.75" customHeight="1">
      <c r="F575" s="17"/>
      <c r="J575" s="18"/>
      <c r="K575" s="18"/>
      <c r="L575" s="15"/>
      <c r="M575" s="18"/>
    </row>
    <row r="576" ht="15.75" customHeight="1">
      <c r="F576" s="17"/>
      <c r="J576" s="18"/>
      <c r="K576" s="18"/>
      <c r="M576" s="18"/>
    </row>
    <row r="577" ht="15.75" customHeight="1">
      <c r="F577" s="17"/>
      <c r="J577" s="18"/>
      <c r="K577" s="18"/>
      <c r="L577" s="12"/>
      <c r="M577" s="18"/>
    </row>
    <row r="578" ht="15.75" customHeight="1">
      <c r="F578" s="17"/>
      <c r="J578" s="18"/>
      <c r="K578" s="18"/>
      <c r="L578" s="12"/>
      <c r="M578" s="18"/>
    </row>
    <row r="579" ht="15.75" customHeight="1">
      <c r="F579" s="17"/>
      <c r="J579" s="18"/>
      <c r="K579" s="18"/>
      <c r="M579" s="18"/>
    </row>
    <row r="580" ht="15.75" customHeight="1">
      <c r="F580" s="17"/>
      <c r="J580" s="18"/>
      <c r="K580" s="18"/>
      <c r="M580" s="18"/>
    </row>
    <row r="581" ht="15.75" customHeight="1">
      <c r="F581" s="17"/>
      <c r="J581" s="18"/>
      <c r="K581" s="18"/>
      <c r="M581" s="18"/>
    </row>
    <row r="582" ht="15.75" customHeight="1">
      <c r="F582" s="17"/>
      <c r="J582" s="18"/>
      <c r="K582" s="18"/>
      <c r="M582" s="18"/>
    </row>
    <row r="583" ht="15.75" customHeight="1">
      <c r="F583" s="17"/>
      <c r="J583" s="18"/>
      <c r="K583" s="18"/>
      <c r="L583" s="12"/>
      <c r="M583" s="18"/>
    </row>
    <row r="584" ht="15.75" customHeight="1">
      <c r="F584" s="17"/>
      <c r="J584" s="18"/>
      <c r="K584" s="18"/>
      <c r="M584" s="18"/>
    </row>
    <row r="585" ht="15.75" customHeight="1">
      <c r="F585" s="17"/>
      <c r="J585" s="18"/>
      <c r="K585" s="18"/>
      <c r="M585" s="18"/>
    </row>
    <row r="586" ht="15.75" customHeight="1">
      <c r="F586" s="17"/>
      <c r="J586" s="18"/>
      <c r="K586" s="18"/>
      <c r="M586" s="18"/>
    </row>
    <row r="587" ht="15.75" customHeight="1">
      <c r="F587" s="17"/>
      <c r="J587" s="18"/>
      <c r="K587" s="18"/>
      <c r="M587" s="18"/>
    </row>
    <row r="588" ht="15.75" customHeight="1">
      <c r="F588" s="17"/>
      <c r="J588" s="18"/>
      <c r="K588" s="18"/>
      <c r="M588" s="18"/>
    </row>
    <row r="589" ht="15.75" customHeight="1">
      <c r="F589" s="17"/>
      <c r="J589" s="18"/>
      <c r="K589" s="18"/>
      <c r="M589" s="18"/>
    </row>
    <row r="590" ht="15.75" customHeight="1">
      <c r="F590" s="17"/>
      <c r="J590" s="18"/>
      <c r="K590" s="18"/>
      <c r="M590" s="18"/>
    </row>
    <row r="591" ht="15.75" customHeight="1">
      <c r="F591" s="17"/>
      <c r="J591" s="18"/>
      <c r="K591" s="18"/>
      <c r="M591" s="18"/>
    </row>
    <row r="592" ht="15.75" customHeight="1">
      <c r="F592" s="17"/>
      <c r="J592" s="18"/>
      <c r="K592" s="18"/>
      <c r="L592" s="12"/>
      <c r="M592" s="18"/>
    </row>
    <row r="593" ht="15.75" customHeight="1">
      <c r="F593" s="17"/>
      <c r="J593" s="18"/>
      <c r="K593" s="18"/>
      <c r="M593" s="18"/>
    </row>
    <row r="594" ht="15.75" customHeight="1">
      <c r="F594" s="17"/>
      <c r="J594" s="18"/>
      <c r="K594" s="18"/>
      <c r="M594" s="18"/>
    </row>
    <row r="595" ht="15.75" customHeight="1">
      <c r="F595" s="17"/>
      <c r="J595" s="18"/>
      <c r="K595" s="18"/>
      <c r="M595" s="18"/>
    </row>
    <row r="596" ht="15.75" customHeight="1">
      <c r="F596" s="17"/>
      <c r="J596" s="18"/>
      <c r="K596" s="18"/>
      <c r="M596" s="18"/>
    </row>
    <row r="597" ht="15.75" customHeight="1">
      <c r="F597" s="17"/>
      <c r="J597" s="18"/>
      <c r="K597" s="18"/>
      <c r="M597" s="18"/>
    </row>
    <row r="598" ht="15.75" customHeight="1">
      <c r="F598" s="17"/>
      <c r="J598" s="18"/>
      <c r="K598" s="18"/>
      <c r="M598" s="18"/>
    </row>
    <row r="599" ht="15.75" customHeight="1">
      <c r="F599" s="17"/>
      <c r="J599" s="18"/>
      <c r="K599" s="18"/>
      <c r="M599" s="18"/>
    </row>
    <row r="600" ht="15.75" customHeight="1">
      <c r="F600" s="17"/>
      <c r="J600" s="18"/>
      <c r="K600" s="18"/>
      <c r="L600" s="12"/>
      <c r="M600" s="18"/>
    </row>
    <row r="601" ht="15.75" customHeight="1">
      <c r="F601" s="17"/>
      <c r="J601" s="18"/>
      <c r="K601" s="18"/>
      <c r="M601" s="18"/>
    </row>
    <row r="602" ht="15.75" customHeight="1">
      <c r="F602" s="17"/>
      <c r="J602" s="18"/>
      <c r="K602" s="18"/>
      <c r="M602" s="18"/>
    </row>
    <row r="603" ht="15.75" customHeight="1">
      <c r="F603" s="17"/>
      <c r="J603" s="18"/>
      <c r="K603" s="18"/>
      <c r="M603" s="18"/>
    </row>
    <row r="604" ht="15.75" customHeight="1">
      <c r="F604" s="17"/>
      <c r="J604" s="18"/>
      <c r="K604" s="18"/>
      <c r="L604" s="12"/>
      <c r="M604" s="18"/>
    </row>
    <row r="605" ht="15.75" customHeight="1">
      <c r="F605" s="17"/>
      <c r="J605" s="18"/>
      <c r="K605" s="18"/>
      <c r="M605" s="18"/>
    </row>
    <row r="606" ht="15.75" customHeight="1">
      <c r="F606" s="17"/>
      <c r="J606" s="18"/>
      <c r="K606" s="18"/>
      <c r="M606" s="18"/>
    </row>
    <row r="607" ht="15.75" customHeight="1">
      <c r="F607" s="17"/>
      <c r="J607" s="18"/>
      <c r="K607" s="18"/>
      <c r="M607" s="18"/>
    </row>
    <row r="608" ht="15.75" customHeight="1">
      <c r="F608" s="17"/>
      <c r="J608" s="18"/>
      <c r="K608" s="18"/>
      <c r="M608" s="18"/>
    </row>
    <row r="609" ht="15.75" customHeight="1">
      <c r="F609" s="17"/>
      <c r="J609" s="18"/>
      <c r="K609" s="18"/>
      <c r="M609" s="18"/>
    </row>
    <row r="610" ht="15.75" customHeight="1">
      <c r="F610" s="17"/>
      <c r="J610" s="18"/>
      <c r="K610" s="18"/>
      <c r="M610" s="18"/>
    </row>
    <row r="611" ht="15.75" customHeight="1">
      <c r="F611" s="17"/>
      <c r="J611" s="18"/>
      <c r="K611" s="18"/>
      <c r="M611" s="18"/>
    </row>
    <row r="612" ht="15.75" customHeight="1">
      <c r="F612" s="17"/>
      <c r="J612" s="18"/>
      <c r="K612" s="18"/>
      <c r="M612" s="18"/>
    </row>
    <row r="613" ht="15.75" customHeight="1">
      <c r="F613" s="17"/>
      <c r="J613" s="18"/>
      <c r="K613" s="18"/>
      <c r="M613" s="18"/>
    </row>
    <row r="614" ht="15.75" customHeight="1">
      <c r="F614" s="17"/>
      <c r="J614" s="18"/>
      <c r="K614" s="18"/>
      <c r="L614" s="12"/>
      <c r="M614" s="18"/>
    </row>
    <row r="615" ht="15.75" customHeight="1">
      <c r="F615" s="17"/>
      <c r="J615" s="18"/>
      <c r="K615" s="18"/>
      <c r="M615" s="18"/>
    </row>
    <row r="616" ht="15.75" customHeight="1">
      <c r="F616" s="17"/>
      <c r="J616" s="18"/>
      <c r="K616" s="18"/>
      <c r="M616" s="18"/>
    </row>
    <row r="617" ht="15.75" customHeight="1">
      <c r="F617" s="17"/>
      <c r="J617" s="18"/>
      <c r="K617" s="18"/>
      <c r="M617" s="18"/>
    </row>
    <row r="618" ht="15.75" customHeight="1">
      <c r="F618" s="17"/>
      <c r="J618" s="18"/>
      <c r="K618" s="18"/>
      <c r="L618" s="12"/>
      <c r="M618" s="18"/>
    </row>
    <row r="619" ht="15.75" customHeight="1">
      <c r="F619" s="17"/>
      <c r="J619" s="18"/>
      <c r="K619" s="18"/>
      <c r="M619" s="18"/>
    </row>
    <row r="620" ht="15.75" customHeight="1">
      <c r="F620" s="17"/>
      <c r="J620" s="18"/>
      <c r="K620" s="18"/>
      <c r="M620" s="18"/>
    </row>
    <row r="621" ht="15.75" customHeight="1">
      <c r="F621" s="17"/>
      <c r="J621" s="18"/>
      <c r="K621" s="18"/>
      <c r="M621" s="18"/>
    </row>
    <row r="622" ht="15.75" customHeight="1">
      <c r="F622" s="17"/>
      <c r="J622" s="18"/>
      <c r="K622" s="18"/>
      <c r="M622" s="18"/>
    </row>
    <row r="623" ht="15.75" customHeight="1">
      <c r="F623" s="17"/>
      <c r="J623" s="18"/>
      <c r="K623" s="18"/>
      <c r="M623" s="18"/>
    </row>
    <row r="624" ht="15.75" customHeight="1">
      <c r="F624" s="17"/>
      <c r="J624" s="18"/>
      <c r="K624" s="18"/>
      <c r="L624" s="12"/>
      <c r="M624" s="18"/>
    </row>
    <row r="625" ht="15.75" customHeight="1">
      <c r="F625" s="17"/>
      <c r="J625" s="18"/>
      <c r="K625" s="18"/>
      <c r="M625" s="18"/>
    </row>
    <row r="626" ht="15.75" customHeight="1">
      <c r="F626" s="17"/>
      <c r="J626" s="18"/>
      <c r="K626" s="18"/>
      <c r="L626" s="12"/>
      <c r="M626" s="18"/>
    </row>
    <row r="627" ht="15.75" customHeight="1">
      <c r="F627" s="17"/>
      <c r="J627" s="18"/>
      <c r="K627" s="18"/>
      <c r="M627" s="18"/>
    </row>
    <row r="628" ht="15.75" customHeight="1">
      <c r="F628" s="17"/>
      <c r="J628" s="18"/>
      <c r="K628" s="18"/>
      <c r="L628" s="12"/>
      <c r="M628" s="18"/>
    </row>
    <row r="629" ht="15.75" customHeight="1">
      <c r="F629" s="17"/>
      <c r="J629" s="18"/>
      <c r="K629" s="18"/>
      <c r="M629" s="18"/>
    </row>
    <row r="630" ht="15.75" customHeight="1">
      <c r="F630" s="17"/>
      <c r="J630" s="18"/>
      <c r="K630" s="18"/>
      <c r="L630" s="12"/>
      <c r="M630" s="18"/>
    </row>
    <row r="631" ht="15.75" customHeight="1">
      <c r="F631" s="17"/>
      <c r="J631" s="18"/>
      <c r="K631" s="18"/>
      <c r="M631" s="18"/>
    </row>
    <row r="632" ht="15.75" customHeight="1">
      <c r="F632" s="17"/>
      <c r="J632" s="18"/>
      <c r="K632" s="18"/>
      <c r="M632" s="18"/>
    </row>
    <row r="633" ht="15.75" customHeight="1">
      <c r="F633" s="17"/>
      <c r="J633" s="18"/>
      <c r="K633" s="18"/>
      <c r="M633" s="18"/>
    </row>
    <row r="634" ht="15.75" customHeight="1">
      <c r="F634" s="17"/>
      <c r="J634" s="18"/>
      <c r="K634" s="18"/>
      <c r="M634" s="18"/>
    </row>
    <row r="635" ht="15.75" customHeight="1">
      <c r="F635" s="17"/>
      <c r="J635" s="18"/>
      <c r="K635" s="18"/>
      <c r="M635" s="18"/>
    </row>
    <row r="636" ht="15.75" customHeight="1">
      <c r="F636" s="17"/>
      <c r="J636" s="18"/>
      <c r="K636" s="18"/>
      <c r="M636" s="18"/>
    </row>
    <row r="637" ht="15.75" customHeight="1">
      <c r="F637" s="17"/>
      <c r="J637" s="18"/>
      <c r="K637" s="18"/>
      <c r="M637" s="18"/>
    </row>
    <row r="638" ht="15.75" customHeight="1">
      <c r="F638" s="17"/>
      <c r="J638" s="18"/>
      <c r="K638" s="18"/>
      <c r="M638" s="18"/>
    </row>
    <row r="639" ht="15.75" customHeight="1">
      <c r="F639" s="17"/>
      <c r="J639" s="18"/>
      <c r="K639" s="18"/>
      <c r="M639" s="18"/>
    </row>
    <row r="640" ht="15.75" customHeight="1">
      <c r="F640" s="17"/>
      <c r="J640" s="18"/>
      <c r="K640" s="18"/>
      <c r="M640" s="18"/>
    </row>
    <row r="641" ht="15.75" customHeight="1">
      <c r="F641" s="17"/>
      <c r="J641" s="18"/>
      <c r="K641" s="18"/>
      <c r="M641" s="18"/>
    </row>
    <row r="642" ht="15.75" customHeight="1">
      <c r="F642" s="17"/>
      <c r="J642" s="18"/>
      <c r="K642" s="18"/>
      <c r="M642" s="18"/>
    </row>
    <row r="643" ht="15.75" customHeight="1">
      <c r="F643" s="17"/>
      <c r="J643" s="18"/>
      <c r="K643" s="18"/>
      <c r="M643" s="18"/>
    </row>
    <row r="644" ht="15.75" customHeight="1">
      <c r="F644" s="17"/>
      <c r="J644" s="18"/>
      <c r="K644" s="18"/>
      <c r="L644" s="12"/>
      <c r="M644" s="18"/>
    </row>
    <row r="645" ht="15.75" customHeight="1">
      <c r="F645" s="17"/>
      <c r="J645" s="18"/>
      <c r="K645" s="18"/>
      <c r="L645" s="15"/>
      <c r="M645" s="18"/>
    </row>
    <row r="646" ht="15.75" customHeight="1">
      <c r="F646" s="17"/>
      <c r="J646" s="18"/>
      <c r="K646" s="18"/>
      <c r="M646" s="18"/>
    </row>
    <row r="647" ht="15.75" customHeight="1">
      <c r="F647" s="17"/>
      <c r="J647" s="18"/>
      <c r="K647" s="18"/>
      <c r="M647" s="18"/>
    </row>
    <row r="648" ht="15.75" customHeight="1">
      <c r="F648" s="17"/>
      <c r="J648" s="18"/>
      <c r="K648" s="18"/>
      <c r="M648" s="18"/>
    </row>
    <row r="649" ht="15.75" customHeight="1">
      <c r="F649" s="17"/>
      <c r="J649" s="18"/>
      <c r="K649" s="18"/>
      <c r="M649" s="18"/>
    </row>
    <row r="650" ht="15.75" customHeight="1">
      <c r="F650" s="17"/>
      <c r="J650" s="18"/>
      <c r="K650" s="18"/>
      <c r="L650" s="12"/>
      <c r="M650" s="18"/>
    </row>
    <row r="651" ht="15.75" customHeight="1">
      <c r="F651" s="17"/>
      <c r="J651" s="18"/>
      <c r="K651" s="18"/>
      <c r="M651" s="18"/>
    </row>
    <row r="652" ht="15.75" customHeight="1">
      <c r="F652" s="17"/>
      <c r="J652" s="18"/>
      <c r="K652" s="18"/>
      <c r="L652" s="12"/>
      <c r="M652" s="18"/>
    </row>
    <row r="653" ht="15.75" customHeight="1">
      <c r="F653" s="17"/>
      <c r="J653" s="18"/>
      <c r="K653" s="18"/>
      <c r="M653" s="18"/>
    </row>
    <row r="654" ht="15.75" customHeight="1">
      <c r="F654" s="17"/>
      <c r="J654" s="18"/>
      <c r="K654" s="18"/>
      <c r="M654" s="18"/>
    </row>
    <row r="655" ht="15.75" customHeight="1">
      <c r="F655" s="17"/>
      <c r="J655" s="18"/>
      <c r="K655" s="18"/>
      <c r="M655" s="18"/>
    </row>
    <row r="656" ht="15.75" customHeight="1">
      <c r="F656" s="17"/>
      <c r="J656" s="18"/>
      <c r="K656" s="18"/>
      <c r="M656" s="18"/>
    </row>
    <row r="657" ht="15.75" customHeight="1">
      <c r="F657" s="17"/>
      <c r="J657" s="18"/>
      <c r="K657" s="18"/>
      <c r="M657" s="18"/>
    </row>
    <row r="658" ht="15.75" customHeight="1">
      <c r="F658" s="17"/>
      <c r="J658" s="18"/>
      <c r="K658" s="18"/>
      <c r="M658" s="18"/>
    </row>
    <row r="659" ht="15.75" customHeight="1">
      <c r="F659" s="17"/>
      <c r="J659" s="18"/>
      <c r="K659" s="18"/>
      <c r="M659" s="18"/>
    </row>
    <row r="660" ht="15.75" customHeight="1">
      <c r="F660" s="17"/>
      <c r="J660" s="18"/>
      <c r="K660" s="18"/>
      <c r="M660" s="18"/>
    </row>
    <row r="661" ht="15.75" customHeight="1">
      <c r="F661" s="17"/>
      <c r="J661" s="18"/>
      <c r="K661" s="18"/>
      <c r="L661" s="15"/>
      <c r="M661" s="18"/>
    </row>
    <row r="662" ht="15.75" customHeight="1">
      <c r="F662" s="17"/>
      <c r="J662" s="18"/>
      <c r="K662" s="18"/>
      <c r="M662" s="18"/>
    </row>
    <row r="663" ht="15.75" customHeight="1">
      <c r="F663" s="17"/>
      <c r="J663" s="18"/>
      <c r="K663" s="18"/>
      <c r="M663" s="18"/>
    </row>
    <row r="664" ht="15.75" customHeight="1">
      <c r="F664" s="17"/>
      <c r="J664" s="18"/>
      <c r="K664" s="18"/>
      <c r="M664" s="18"/>
    </row>
    <row r="665" ht="15.75" customHeight="1">
      <c r="F665" s="17"/>
      <c r="J665" s="18"/>
      <c r="K665" s="18"/>
      <c r="M665" s="18"/>
    </row>
    <row r="666" ht="15.75" customHeight="1">
      <c r="F666" s="17"/>
      <c r="J666" s="18"/>
      <c r="K666" s="18"/>
      <c r="M666" s="18"/>
    </row>
    <row r="667" ht="15.75" customHeight="1">
      <c r="F667" s="17"/>
      <c r="J667" s="18"/>
      <c r="K667" s="18"/>
      <c r="L667" s="12"/>
      <c r="M667" s="18"/>
    </row>
    <row r="668" ht="15.75" customHeight="1">
      <c r="F668" s="17"/>
      <c r="J668" s="18"/>
      <c r="K668" s="18"/>
      <c r="L668" s="15"/>
      <c r="M668" s="18"/>
    </row>
    <row r="669" ht="15.75" customHeight="1">
      <c r="F669" s="17"/>
      <c r="J669" s="18"/>
      <c r="K669" s="18"/>
      <c r="M669" s="18"/>
    </row>
    <row r="670" ht="15.75" customHeight="1">
      <c r="F670" s="17"/>
      <c r="J670" s="18"/>
      <c r="K670" s="18"/>
      <c r="L670" s="12"/>
      <c r="M670" s="18"/>
    </row>
    <row r="671" ht="15.75" customHeight="1">
      <c r="F671" s="17"/>
      <c r="J671" s="18"/>
      <c r="K671" s="18"/>
      <c r="M671" s="18"/>
    </row>
    <row r="672" ht="15.75" customHeight="1">
      <c r="F672" s="17"/>
      <c r="J672" s="18"/>
      <c r="K672" s="18"/>
      <c r="L672" s="15"/>
      <c r="M672" s="18"/>
    </row>
    <row r="673" ht="15.75" customHeight="1">
      <c r="F673" s="17"/>
      <c r="J673" s="18"/>
      <c r="K673" s="18"/>
      <c r="M673" s="18"/>
    </row>
    <row r="674" ht="15.75" customHeight="1">
      <c r="F674" s="17"/>
      <c r="J674" s="18"/>
      <c r="K674" s="18"/>
      <c r="M674" s="18"/>
    </row>
    <row r="675" ht="15.75" customHeight="1">
      <c r="F675" s="17"/>
      <c r="J675" s="18"/>
      <c r="K675" s="18"/>
      <c r="M675" s="18"/>
    </row>
    <row r="676" ht="15.75" customHeight="1">
      <c r="F676" s="17"/>
      <c r="J676" s="18"/>
      <c r="K676" s="18"/>
      <c r="M676" s="18"/>
    </row>
    <row r="677" ht="15.75" customHeight="1">
      <c r="F677" s="17"/>
      <c r="J677" s="18"/>
      <c r="K677" s="18"/>
      <c r="M677" s="18"/>
    </row>
    <row r="678" ht="15.75" customHeight="1">
      <c r="F678" s="17"/>
      <c r="J678" s="18"/>
      <c r="K678" s="18"/>
      <c r="M678" s="18"/>
    </row>
    <row r="679" ht="15.75" customHeight="1">
      <c r="F679" s="17"/>
      <c r="J679" s="18"/>
      <c r="K679" s="18"/>
      <c r="M679" s="18"/>
    </row>
    <row r="680" ht="15.75" customHeight="1">
      <c r="F680" s="17"/>
      <c r="J680" s="18"/>
      <c r="K680" s="18"/>
      <c r="M680" s="18"/>
    </row>
    <row r="681" ht="15.75" customHeight="1">
      <c r="F681" s="17"/>
      <c r="J681" s="18"/>
      <c r="K681" s="18"/>
      <c r="M681" s="18"/>
    </row>
    <row r="682" ht="15.75" customHeight="1">
      <c r="F682" s="17"/>
      <c r="J682" s="18"/>
      <c r="K682" s="18"/>
      <c r="M682" s="18"/>
    </row>
    <row r="683" ht="15.75" customHeight="1">
      <c r="F683" s="17"/>
      <c r="J683" s="18"/>
      <c r="K683" s="18"/>
      <c r="L683" s="12"/>
      <c r="M683" s="18"/>
    </row>
    <row r="684" ht="15.75" customHeight="1">
      <c r="F684" s="17"/>
      <c r="J684" s="18"/>
      <c r="K684" s="18"/>
      <c r="L684" s="12"/>
      <c r="M684" s="18"/>
    </row>
    <row r="685" ht="15.75" customHeight="1">
      <c r="F685" s="17"/>
      <c r="J685" s="18"/>
      <c r="K685" s="18"/>
      <c r="L685" s="12"/>
      <c r="M685" s="18"/>
    </row>
    <row r="686" ht="15.75" customHeight="1">
      <c r="F686" s="17"/>
      <c r="J686" s="18"/>
      <c r="K686" s="18"/>
      <c r="M686" s="18"/>
    </row>
    <row r="687" ht="15.75" customHeight="1">
      <c r="F687" s="17"/>
      <c r="J687" s="18"/>
      <c r="K687" s="18"/>
      <c r="M687" s="18"/>
    </row>
    <row r="688" ht="15.75" customHeight="1">
      <c r="F688" s="17"/>
      <c r="J688" s="18"/>
      <c r="K688" s="18"/>
      <c r="M688" s="18"/>
    </row>
    <row r="689" ht="15.75" customHeight="1">
      <c r="F689" s="17"/>
      <c r="J689" s="18"/>
      <c r="K689" s="18"/>
      <c r="M689" s="18"/>
    </row>
    <row r="690" ht="15.75" customHeight="1">
      <c r="F690" s="17"/>
      <c r="J690" s="18"/>
      <c r="K690" s="18"/>
      <c r="L690" s="15"/>
      <c r="M690" s="18"/>
    </row>
    <row r="691" ht="15.75" customHeight="1">
      <c r="F691" s="17"/>
      <c r="J691" s="18"/>
      <c r="K691" s="18"/>
      <c r="M691" s="18"/>
    </row>
    <row r="692" ht="15.75" customHeight="1">
      <c r="F692" s="17"/>
      <c r="J692" s="18"/>
      <c r="K692" s="18"/>
      <c r="M692" s="18"/>
    </row>
    <row r="693" ht="15.75" customHeight="1">
      <c r="F693" s="17"/>
      <c r="J693" s="18"/>
      <c r="K693" s="18"/>
      <c r="M693" s="18"/>
    </row>
    <row r="694" ht="15.75" customHeight="1">
      <c r="F694" s="17"/>
      <c r="J694" s="18"/>
      <c r="K694" s="18"/>
      <c r="M694" s="18"/>
    </row>
    <row r="695" ht="15.75" customHeight="1">
      <c r="F695" s="17"/>
      <c r="J695" s="18"/>
      <c r="K695" s="18"/>
      <c r="M695" s="18"/>
    </row>
    <row r="696" ht="15.75" customHeight="1">
      <c r="F696" s="17"/>
      <c r="J696" s="18"/>
      <c r="K696" s="18"/>
      <c r="L696" s="12"/>
      <c r="M696" s="18"/>
    </row>
    <row r="697" ht="15.75" customHeight="1">
      <c r="F697" s="17"/>
      <c r="J697" s="18"/>
      <c r="K697" s="18"/>
      <c r="L697" s="12"/>
      <c r="M697" s="18"/>
    </row>
    <row r="698" ht="15.75" customHeight="1">
      <c r="F698" s="17"/>
      <c r="J698" s="18"/>
      <c r="K698" s="18"/>
      <c r="M698" s="18"/>
    </row>
    <row r="699" ht="15.75" customHeight="1">
      <c r="F699" s="17"/>
      <c r="J699" s="18"/>
      <c r="K699" s="18"/>
      <c r="M699" s="18"/>
    </row>
    <row r="700" ht="15.75" customHeight="1">
      <c r="F700" s="17"/>
      <c r="J700" s="18"/>
      <c r="K700" s="18"/>
      <c r="M700" s="18"/>
    </row>
    <row r="701" ht="15.75" customHeight="1">
      <c r="F701" s="17"/>
      <c r="J701" s="18"/>
      <c r="K701" s="18"/>
      <c r="M701" s="18"/>
    </row>
    <row r="702" ht="15.75" customHeight="1">
      <c r="F702" s="17"/>
      <c r="J702" s="18"/>
      <c r="K702" s="18"/>
      <c r="M702" s="18"/>
    </row>
    <row r="703" ht="15.75" customHeight="1">
      <c r="F703" s="17"/>
      <c r="J703" s="18"/>
      <c r="K703" s="18"/>
      <c r="M703" s="18"/>
    </row>
    <row r="704" ht="15.75" customHeight="1">
      <c r="F704" s="17"/>
      <c r="J704" s="18"/>
      <c r="K704" s="18"/>
      <c r="M704" s="18"/>
    </row>
    <row r="705" ht="15.75" customHeight="1">
      <c r="F705" s="17"/>
      <c r="J705" s="18"/>
      <c r="K705" s="18"/>
      <c r="M705" s="18"/>
    </row>
    <row r="706" ht="15.75" customHeight="1">
      <c r="F706" s="17"/>
      <c r="J706" s="18"/>
      <c r="K706" s="18"/>
      <c r="M706" s="18"/>
    </row>
    <row r="707" ht="15.75" customHeight="1">
      <c r="F707" s="17"/>
      <c r="J707" s="18"/>
      <c r="K707" s="18"/>
      <c r="M707" s="18"/>
    </row>
    <row r="708" ht="15.75" customHeight="1">
      <c r="F708" s="17"/>
      <c r="J708" s="18"/>
      <c r="K708" s="18"/>
      <c r="M708" s="18"/>
    </row>
    <row r="709" ht="15.75" customHeight="1">
      <c r="F709" s="17"/>
      <c r="J709" s="18"/>
      <c r="K709" s="18"/>
      <c r="M709" s="18"/>
    </row>
    <row r="710" ht="15.75" customHeight="1">
      <c r="F710" s="17"/>
      <c r="J710" s="18"/>
      <c r="K710" s="18"/>
      <c r="M710" s="18"/>
    </row>
    <row r="711" ht="15.75" customHeight="1">
      <c r="F711" s="17"/>
      <c r="J711" s="18"/>
      <c r="K711" s="18"/>
      <c r="L711" s="12"/>
      <c r="M711" s="18"/>
    </row>
    <row r="712" ht="15.75" customHeight="1">
      <c r="F712" s="17"/>
      <c r="J712" s="18"/>
      <c r="K712" s="18"/>
      <c r="M712" s="18"/>
    </row>
    <row r="713" ht="15.75" customHeight="1">
      <c r="F713" s="17"/>
      <c r="J713" s="18"/>
      <c r="K713" s="18"/>
      <c r="M713" s="18"/>
    </row>
    <row r="714" ht="15.75" customHeight="1">
      <c r="F714" s="17"/>
      <c r="J714" s="18"/>
      <c r="K714" s="18"/>
      <c r="M714" s="18"/>
    </row>
    <row r="715" ht="15.75" customHeight="1">
      <c r="F715" s="17"/>
      <c r="J715" s="18"/>
      <c r="K715" s="18"/>
      <c r="M715" s="18"/>
    </row>
    <row r="716" ht="15.75" customHeight="1">
      <c r="F716" s="17"/>
      <c r="J716" s="18"/>
      <c r="K716" s="18"/>
      <c r="M716" s="18"/>
    </row>
    <row r="717" ht="15.75" customHeight="1">
      <c r="F717" s="17"/>
      <c r="J717" s="18"/>
      <c r="K717" s="18"/>
      <c r="M717" s="18"/>
    </row>
    <row r="718" ht="15.75" customHeight="1">
      <c r="F718" s="17"/>
      <c r="J718" s="18"/>
      <c r="K718" s="18"/>
      <c r="M718" s="18"/>
    </row>
    <row r="719" ht="15.75" customHeight="1">
      <c r="F719" s="17"/>
      <c r="J719" s="18"/>
      <c r="K719" s="18"/>
      <c r="M719" s="18"/>
    </row>
    <row r="720" ht="15.75" customHeight="1">
      <c r="F720" s="17"/>
      <c r="J720" s="18"/>
      <c r="K720" s="18"/>
      <c r="M720" s="18"/>
    </row>
    <row r="721" ht="15.75" customHeight="1">
      <c r="F721" s="17"/>
      <c r="J721" s="18"/>
      <c r="K721" s="18"/>
      <c r="M721" s="18"/>
    </row>
    <row r="722" ht="15.75" customHeight="1">
      <c r="F722" s="17"/>
      <c r="J722" s="18"/>
      <c r="K722" s="18"/>
      <c r="M722" s="18"/>
    </row>
    <row r="723" ht="15.75" customHeight="1">
      <c r="F723" s="17"/>
      <c r="J723" s="18"/>
      <c r="K723" s="18"/>
      <c r="M723" s="18"/>
    </row>
    <row r="724" ht="15.75" customHeight="1">
      <c r="F724" s="17"/>
      <c r="J724" s="18"/>
      <c r="K724" s="18"/>
      <c r="M724" s="18"/>
    </row>
    <row r="725" ht="15.75" customHeight="1">
      <c r="F725" s="17"/>
      <c r="J725" s="18"/>
      <c r="K725" s="18"/>
      <c r="M725" s="18"/>
    </row>
    <row r="726" ht="15.75" customHeight="1">
      <c r="F726" s="17"/>
      <c r="J726" s="18"/>
      <c r="K726" s="18"/>
      <c r="M726" s="18"/>
    </row>
    <row r="727" ht="15.75" customHeight="1">
      <c r="F727" s="17"/>
      <c r="J727" s="18"/>
      <c r="K727" s="18"/>
      <c r="M727" s="18"/>
    </row>
    <row r="728" ht="15.75" customHeight="1">
      <c r="F728" s="17"/>
      <c r="J728" s="18"/>
      <c r="K728" s="18"/>
      <c r="M728" s="18"/>
    </row>
    <row r="729" ht="15.75" customHeight="1">
      <c r="F729" s="17"/>
      <c r="J729" s="18"/>
      <c r="K729" s="18"/>
      <c r="M729" s="18"/>
    </row>
    <row r="730" ht="15.75" customHeight="1">
      <c r="F730" s="17"/>
      <c r="J730" s="18"/>
      <c r="K730" s="18"/>
      <c r="M730" s="18"/>
    </row>
    <row r="731" ht="15.75" customHeight="1">
      <c r="F731" s="17"/>
      <c r="J731" s="18"/>
      <c r="K731" s="18"/>
      <c r="M731" s="18"/>
    </row>
    <row r="732" ht="15.75" customHeight="1">
      <c r="F732" s="17"/>
      <c r="J732" s="18"/>
      <c r="K732" s="18"/>
      <c r="M732" s="18"/>
    </row>
    <row r="733" ht="15.75" customHeight="1">
      <c r="F733" s="17"/>
      <c r="J733" s="18"/>
      <c r="K733" s="18"/>
      <c r="M733" s="18"/>
    </row>
    <row r="734" ht="15.75" customHeight="1">
      <c r="F734" s="17"/>
      <c r="J734" s="18"/>
      <c r="K734" s="18"/>
      <c r="M734" s="18"/>
    </row>
    <row r="735" ht="15.75" customHeight="1">
      <c r="F735" s="17"/>
      <c r="J735" s="18"/>
      <c r="K735" s="18"/>
      <c r="M735" s="18"/>
    </row>
    <row r="736" ht="15.75" customHeight="1">
      <c r="F736" s="17"/>
      <c r="J736" s="18"/>
      <c r="K736" s="18"/>
      <c r="M736" s="18"/>
    </row>
    <row r="737" ht="15.75" customHeight="1">
      <c r="F737" s="17"/>
      <c r="J737" s="18"/>
      <c r="K737" s="18"/>
      <c r="M737" s="18"/>
    </row>
    <row r="738" ht="15.75" customHeight="1">
      <c r="F738" s="17"/>
      <c r="J738" s="18"/>
      <c r="K738" s="18"/>
      <c r="M738" s="18"/>
    </row>
    <row r="739" ht="15.75" customHeight="1">
      <c r="F739" s="17"/>
      <c r="J739" s="18"/>
      <c r="K739" s="18"/>
      <c r="M739" s="18"/>
    </row>
    <row r="740" ht="15.75" customHeight="1">
      <c r="F740" s="17"/>
      <c r="J740" s="18"/>
      <c r="K740" s="18"/>
      <c r="M740" s="18"/>
    </row>
    <row r="741" ht="15.75" customHeight="1">
      <c r="F741" s="17"/>
      <c r="J741" s="18"/>
      <c r="K741" s="18"/>
      <c r="M741" s="18"/>
    </row>
    <row r="742" ht="15.75" customHeight="1">
      <c r="F742" s="17"/>
      <c r="J742" s="18"/>
      <c r="K742" s="18"/>
      <c r="M742" s="18"/>
    </row>
    <row r="743" ht="15.75" customHeight="1">
      <c r="F743" s="17"/>
      <c r="J743" s="18"/>
      <c r="K743" s="18"/>
      <c r="M743" s="18"/>
    </row>
    <row r="744" ht="15.75" customHeight="1">
      <c r="F744" s="17"/>
      <c r="J744" s="18"/>
      <c r="K744" s="18"/>
      <c r="M744" s="18"/>
    </row>
    <row r="745" ht="15.75" customHeight="1">
      <c r="F745" s="17"/>
      <c r="J745" s="18"/>
      <c r="K745" s="18"/>
      <c r="M745" s="18"/>
    </row>
    <row r="746" ht="15.75" customHeight="1">
      <c r="F746" s="17"/>
      <c r="J746" s="18"/>
      <c r="K746" s="18"/>
      <c r="M746" s="18"/>
    </row>
    <row r="747" ht="15.75" customHeight="1">
      <c r="F747" s="17"/>
      <c r="J747" s="18"/>
      <c r="K747" s="18"/>
      <c r="M747" s="18"/>
    </row>
    <row r="748" ht="15.75" customHeight="1">
      <c r="F748" s="17"/>
      <c r="J748" s="18"/>
      <c r="K748" s="18"/>
      <c r="M748" s="18"/>
    </row>
    <row r="749" ht="15.75" customHeight="1">
      <c r="F749" s="17"/>
      <c r="J749" s="18"/>
      <c r="K749" s="18"/>
      <c r="M749" s="18"/>
    </row>
    <row r="750" ht="15.75" customHeight="1">
      <c r="F750" s="17"/>
      <c r="J750" s="18"/>
      <c r="K750" s="18"/>
      <c r="M750" s="18"/>
    </row>
    <row r="751" ht="15.75" customHeight="1">
      <c r="F751" s="17"/>
      <c r="J751" s="18"/>
      <c r="K751" s="18"/>
      <c r="M751" s="18"/>
    </row>
    <row r="752" ht="15.75" customHeight="1">
      <c r="F752" s="17"/>
      <c r="J752" s="18"/>
      <c r="K752" s="18"/>
      <c r="M752" s="18"/>
    </row>
    <row r="753" ht="15.75" customHeight="1">
      <c r="F753" s="17"/>
      <c r="J753" s="18"/>
      <c r="K753" s="18"/>
      <c r="M753" s="18"/>
    </row>
    <row r="754" ht="15.75" customHeight="1">
      <c r="F754" s="17"/>
      <c r="J754" s="18"/>
      <c r="K754" s="18"/>
      <c r="M754" s="18"/>
    </row>
    <row r="755" ht="15.75" customHeight="1">
      <c r="F755" s="17"/>
      <c r="J755" s="18"/>
      <c r="K755" s="18"/>
      <c r="M755" s="18"/>
    </row>
    <row r="756" ht="15.75" customHeight="1">
      <c r="F756" s="17"/>
      <c r="J756" s="18"/>
      <c r="K756" s="18"/>
      <c r="M756" s="18"/>
    </row>
    <row r="757" ht="15.75" customHeight="1">
      <c r="F757" s="17"/>
      <c r="J757" s="18"/>
      <c r="K757" s="18"/>
      <c r="M757" s="18"/>
    </row>
    <row r="758" ht="15.75" customHeight="1">
      <c r="F758" s="17"/>
      <c r="J758" s="18"/>
      <c r="K758" s="18"/>
      <c r="M758" s="18"/>
    </row>
    <row r="759" ht="15.75" customHeight="1">
      <c r="F759" s="17"/>
      <c r="J759" s="18"/>
      <c r="K759" s="18"/>
      <c r="M759" s="18"/>
    </row>
    <row r="760" ht="15.75" customHeight="1">
      <c r="F760" s="17"/>
      <c r="J760" s="18"/>
      <c r="K760" s="18"/>
      <c r="M760" s="18"/>
    </row>
    <row r="761" ht="15.75" customHeight="1">
      <c r="F761" s="17"/>
      <c r="J761" s="18"/>
      <c r="K761" s="18"/>
      <c r="M761" s="18"/>
    </row>
    <row r="762" ht="15.75" customHeight="1">
      <c r="F762" s="17"/>
      <c r="J762" s="18"/>
      <c r="K762" s="18"/>
      <c r="M762" s="18"/>
    </row>
    <row r="763" ht="15.75" customHeight="1">
      <c r="F763" s="17"/>
      <c r="J763" s="18"/>
      <c r="K763" s="18"/>
      <c r="M763" s="18"/>
    </row>
    <row r="764" ht="15.75" customHeight="1">
      <c r="F764" s="17"/>
      <c r="J764" s="18"/>
      <c r="K764" s="18"/>
      <c r="M764" s="18"/>
    </row>
    <row r="765" ht="15.75" customHeight="1">
      <c r="F765" s="17"/>
      <c r="J765" s="18"/>
      <c r="K765" s="18"/>
      <c r="M765" s="18"/>
    </row>
    <row r="766" ht="15.75" customHeight="1">
      <c r="F766" s="17"/>
      <c r="J766" s="18"/>
      <c r="K766" s="18"/>
      <c r="M766" s="18"/>
    </row>
    <row r="767" ht="15.75" customHeight="1">
      <c r="F767" s="17"/>
      <c r="J767" s="18"/>
      <c r="K767" s="18"/>
      <c r="M767" s="18"/>
    </row>
    <row r="768" ht="15.75" customHeight="1">
      <c r="F768" s="17"/>
      <c r="J768" s="18"/>
      <c r="K768" s="18"/>
      <c r="M768" s="18"/>
    </row>
    <row r="769" ht="15.75" customHeight="1">
      <c r="F769" s="17"/>
      <c r="J769" s="18"/>
      <c r="K769" s="18"/>
      <c r="M769" s="18"/>
    </row>
    <row r="770" ht="15.75" customHeight="1">
      <c r="F770" s="17"/>
      <c r="J770" s="18"/>
      <c r="K770" s="18"/>
      <c r="M770" s="18"/>
    </row>
    <row r="771" ht="15.75" customHeight="1">
      <c r="F771" s="17"/>
      <c r="J771" s="18"/>
      <c r="K771" s="18"/>
      <c r="M771" s="18"/>
    </row>
    <row r="772" ht="15.75" customHeight="1">
      <c r="F772" s="17"/>
      <c r="J772" s="18"/>
      <c r="K772" s="18"/>
      <c r="M772" s="18"/>
    </row>
    <row r="773" ht="15.75" customHeight="1">
      <c r="F773" s="17"/>
      <c r="J773" s="18"/>
      <c r="K773" s="18"/>
      <c r="M773" s="18"/>
    </row>
    <row r="774" ht="15.75" customHeight="1">
      <c r="F774" s="17"/>
      <c r="J774" s="18"/>
      <c r="K774" s="18"/>
      <c r="M774" s="18"/>
    </row>
    <row r="775" ht="15.75" customHeight="1">
      <c r="F775" s="17"/>
      <c r="J775" s="18"/>
      <c r="K775" s="18"/>
      <c r="M775" s="18"/>
    </row>
    <row r="776" ht="15.75" customHeight="1">
      <c r="F776" s="17"/>
      <c r="J776" s="18"/>
      <c r="K776" s="18"/>
      <c r="M776" s="18"/>
    </row>
    <row r="777" ht="15.75" customHeight="1">
      <c r="F777" s="17"/>
      <c r="J777" s="18"/>
      <c r="K777" s="18"/>
      <c r="M777" s="18"/>
    </row>
    <row r="778" ht="15.75" customHeight="1">
      <c r="F778" s="17"/>
      <c r="J778" s="18"/>
      <c r="K778" s="18"/>
      <c r="M778" s="18"/>
    </row>
    <row r="779" ht="15.75" customHeight="1">
      <c r="F779" s="17"/>
      <c r="J779" s="18"/>
      <c r="K779" s="18"/>
      <c r="M779" s="18"/>
    </row>
    <row r="780" ht="15.75" customHeight="1">
      <c r="F780" s="17"/>
      <c r="J780" s="18"/>
      <c r="K780" s="18"/>
      <c r="M780" s="18"/>
    </row>
    <row r="781" ht="15.75" customHeight="1">
      <c r="F781" s="17"/>
      <c r="J781" s="18"/>
      <c r="K781" s="18"/>
      <c r="M781" s="18"/>
    </row>
    <row r="782" ht="15.75" customHeight="1">
      <c r="F782" s="17"/>
      <c r="J782" s="18"/>
      <c r="K782" s="18"/>
      <c r="M782" s="18"/>
    </row>
    <row r="783" ht="15.75" customHeight="1">
      <c r="F783" s="17"/>
      <c r="J783" s="18"/>
      <c r="K783" s="18"/>
      <c r="M783" s="18"/>
    </row>
    <row r="784" ht="15.75" customHeight="1">
      <c r="F784" s="17"/>
      <c r="J784" s="18"/>
      <c r="K784" s="18"/>
      <c r="M784" s="18"/>
    </row>
    <row r="785" ht="15.75" customHeight="1">
      <c r="F785" s="17"/>
      <c r="J785" s="18"/>
      <c r="K785" s="18"/>
      <c r="M785" s="18"/>
    </row>
    <row r="786" ht="15.75" customHeight="1">
      <c r="F786" s="17"/>
      <c r="J786" s="18"/>
      <c r="K786" s="18"/>
      <c r="M786" s="18"/>
    </row>
    <row r="787" ht="15.75" customHeight="1">
      <c r="F787" s="17"/>
      <c r="J787" s="18"/>
      <c r="K787" s="18"/>
      <c r="M787" s="18"/>
    </row>
    <row r="788" ht="15.75" customHeight="1">
      <c r="F788" s="17"/>
      <c r="J788" s="18"/>
      <c r="K788" s="18"/>
      <c r="M788" s="18"/>
    </row>
    <row r="789" ht="15.75" customHeight="1">
      <c r="F789" s="17"/>
      <c r="J789" s="18"/>
      <c r="K789" s="18"/>
      <c r="M789" s="18"/>
    </row>
    <row r="790" ht="15.75" customHeight="1">
      <c r="F790" s="17"/>
      <c r="J790" s="18"/>
      <c r="K790" s="18"/>
      <c r="M790" s="18"/>
    </row>
    <row r="791" ht="15.75" customHeight="1">
      <c r="F791" s="17"/>
      <c r="J791" s="18"/>
      <c r="K791" s="18"/>
      <c r="M791" s="18"/>
    </row>
    <row r="792" ht="15.75" customHeight="1">
      <c r="F792" s="17"/>
      <c r="J792" s="18"/>
      <c r="K792" s="18"/>
      <c r="M792" s="18"/>
    </row>
    <row r="793" ht="15.75" customHeight="1">
      <c r="F793" s="17"/>
      <c r="J793" s="18"/>
      <c r="K793" s="18"/>
      <c r="M793" s="18"/>
    </row>
    <row r="794" ht="15.75" customHeight="1">
      <c r="F794" s="17"/>
      <c r="J794" s="18"/>
      <c r="K794" s="18"/>
      <c r="M794" s="18"/>
    </row>
    <row r="795" ht="15.75" customHeight="1">
      <c r="F795" s="17"/>
      <c r="J795" s="18"/>
      <c r="K795" s="18"/>
      <c r="M795" s="18"/>
    </row>
    <row r="796" ht="15.75" customHeight="1">
      <c r="F796" s="17"/>
      <c r="J796" s="18"/>
      <c r="K796" s="18"/>
      <c r="M796" s="18"/>
    </row>
    <row r="797" ht="15.75" customHeight="1">
      <c r="F797" s="17"/>
      <c r="J797" s="18"/>
      <c r="K797" s="18"/>
      <c r="M797" s="18"/>
    </row>
    <row r="798" ht="15.75" customHeight="1">
      <c r="F798" s="17"/>
      <c r="J798" s="18"/>
      <c r="K798" s="18"/>
      <c r="M798" s="18"/>
    </row>
    <row r="799" ht="15.75" customHeight="1">
      <c r="F799" s="17"/>
      <c r="J799" s="18"/>
      <c r="K799" s="18"/>
      <c r="M799" s="18"/>
    </row>
    <row r="800" ht="15.75" customHeight="1">
      <c r="F800" s="17"/>
      <c r="J800" s="18"/>
      <c r="K800" s="18"/>
      <c r="M800" s="18"/>
    </row>
    <row r="801" ht="15.75" customHeight="1">
      <c r="F801" s="17"/>
      <c r="J801" s="18"/>
      <c r="K801" s="18"/>
      <c r="M801" s="18"/>
    </row>
    <row r="802" ht="15.75" customHeight="1">
      <c r="F802" s="17"/>
      <c r="J802" s="18"/>
      <c r="K802" s="18"/>
      <c r="M802" s="18"/>
    </row>
    <row r="803" ht="15.75" customHeight="1">
      <c r="F803" s="17"/>
      <c r="J803" s="18"/>
      <c r="K803" s="18"/>
      <c r="M803" s="18"/>
    </row>
    <row r="804" ht="15.75" customHeight="1">
      <c r="F804" s="17"/>
      <c r="J804" s="18"/>
      <c r="K804" s="18"/>
      <c r="M804" s="18"/>
    </row>
    <row r="805" ht="15.75" customHeight="1">
      <c r="F805" s="17"/>
      <c r="J805" s="18"/>
      <c r="K805" s="18"/>
      <c r="M805" s="18"/>
    </row>
    <row r="806" ht="15.75" customHeight="1">
      <c r="F806" s="17"/>
      <c r="J806" s="18"/>
      <c r="K806" s="18"/>
      <c r="M806" s="18"/>
    </row>
    <row r="807" ht="15.75" customHeight="1">
      <c r="F807" s="17"/>
      <c r="J807" s="18"/>
      <c r="K807" s="18"/>
      <c r="M807" s="18"/>
    </row>
    <row r="808" ht="15.75" customHeight="1">
      <c r="F808" s="17"/>
      <c r="J808" s="18"/>
      <c r="K808" s="18"/>
      <c r="M808" s="18"/>
    </row>
    <row r="809" ht="15.75" customHeight="1">
      <c r="F809" s="17"/>
      <c r="J809" s="18"/>
      <c r="K809" s="18"/>
      <c r="M809" s="18"/>
    </row>
    <row r="810" ht="15.75" customHeight="1">
      <c r="F810" s="17"/>
      <c r="J810" s="18"/>
      <c r="K810" s="18"/>
      <c r="M810" s="18"/>
    </row>
    <row r="811" ht="15.75" customHeight="1">
      <c r="F811" s="17"/>
      <c r="J811" s="18"/>
      <c r="K811" s="18"/>
      <c r="M811" s="18"/>
    </row>
    <row r="812" ht="15.75" customHeight="1">
      <c r="F812" s="17"/>
      <c r="J812" s="18"/>
      <c r="K812" s="18"/>
      <c r="M812" s="18"/>
    </row>
    <row r="813" ht="15.75" customHeight="1">
      <c r="F813" s="17"/>
      <c r="J813" s="18"/>
      <c r="K813" s="18"/>
      <c r="M813" s="18"/>
    </row>
    <row r="814" ht="15.75" customHeight="1">
      <c r="F814" s="17"/>
      <c r="J814" s="18"/>
      <c r="K814" s="18"/>
      <c r="M814" s="18"/>
    </row>
    <row r="815" ht="15.75" customHeight="1">
      <c r="F815" s="17"/>
      <c r="J815" s="18"/>
      <c r="K815" s="18"/>
      <c r="M815" s="18"/>
    </row>
    <row r="816" ht="15.75" customHeight="1">
      <c r="F816" s="17"/>
      <c r="J816" s="18"/>
      <c r="K816" s="18"/>
      <c r="M816" s="18"/>
    </row>
    <row r="817" ht="15.75" customHeight="1">
      <c r="F817" s="17"/>
      <c r="J817" s="18"/>
      <c r="K817" s="18"/>
      <c r="M817" s="18"/>
    </row>
    <row r="818" ht="15.75" customHeight="1">
      <c r="F818" s="17"/>
      <c r="J818" s="18"/>
      <c r="K818" s="18"/>
      <c r="M818" s="18"/>
    </row>
    <row r="819" ht="15.75" customHeight="1">
      <c r="F819" s="17"/>
      <c r="J819" s="18"/>
      <c r="K819" s="18"/>
      <c r="M819" s="18"/>
    </row>
    <row r="820" ht="15.75" customHeight="1">
      <c r="F820" s="17"/>
      <c r="J820" s="18"/>
      <c r="K820" s="18"/>
      <c r="M820" s="18"/>
    </row>
    <row r="821" ht="15.75" customHeight="1">
      <c r="F821" s="17"/>
      <c r="J821" s="18"/>
      <c r="K821" s="18"/>
      <c r="M821" s="18"/>
    </row>
    <row r="822" ht="15.75" customHeight="1">
      <c r="F822" s="17"/>
      <c r="J822" s="18"/>
      <c r="K822" s="18"/>
      <c r="M822" s="18"/>
    </row>
    <row r="823" ht="15.75" customHeight="1">
      <c r="F823" s="17"/>
      <c r="J823" s="18"/>
      <c r="K823" s="18"/>
      <c r="M823" s="18"/>
    </row>
    <row r="824" ht="15.75" customHeight="1">
      <c r="F824" s="17"/>
      <c r="J824" s="18"/>
      <c r="K824" s="18"/>
      <c r="M824" s="18"/>
    </row>
    <row r="825" ht="15.75" customHeight="1">
      <c r="F825" s="17"/>
      <c r="J825" s="18"/>
      <c r="K825" s="18"/>
      <c r="M825" s="18"/>
    </row>
    <row r="826" ht="15.75" customHeight="1">
      <c r="F826" s="17"/>
      <c r="J826" s="18"/>
      <c r="K826" s="18"/>
      <c r="M826" s="18"/>
    </row>
    <row r="827" ht="15.75" customHeight="1">
      <c r="F827" s="17"/>
      <c r="J827" s="18"/>
      <c r="K827" s="18"/>
      <c r="M827" s="18"/>
    </row>
    <row r="828" ht="15.75" customHeight="1">
      <c r="F828" s="17"/>
      <c r="J828" s="18"/>
      <c r="K828" s="18"/>
      <c r="M828" s="18"/>
    </row>
    <row r="829" ht="15.75" customHeight="1">
      <c r="F829" s="17"/>
      <c r="J829" s="18"/>
      <c r="K829" s="18"/>
      <c r="M829" s="18"/>
    </row>
    <row r="830" ht="15.75" customHeight="1">
      <c r="F830" s="17"/>
      <c r="J830" s="18"/>
      <c r="K830" s="18"/>
      <c r="M830" s="18"/>
    </row>
    <row r="831" ht="15.75" customHeight="1">
      <c r="F831" s="17"/>
      <c r="J831" s="18"/>
      <c r="K831" s="18"/>
      <c r="M831" s="18"/>
    </row>
    <row r="832" ht="15.75" customHeight="1">
      <c r="F832" s="17"/>
      <c r="J832" s="18"/>
      <c r="K832" s="18"/>
      <c r="M832" s="18"/>
    </row>
    <row r="833" ht="15.75" customHeight="1">
      <c r="F833" s="17"/>
      <c r="J833" s="18"/>
      <c r="K833" s="18"/>
      <c r="M833" s="18"/>
    </row>
    <row r="834" ht="15.75" customHeight="1">
      <c r="F834" s="17"/>
      <c r="J834" s="18"/>
      <c r="K834" s="18"/>
      <c r="M834" s="18"/>
    </row>
    <row r="835" ht="15.75" customHeight="1">
      <c r="F835" s="17"/>
      <c r="J835" s="18"/>
      <c r="K835" s="18"/>
      <c r="M835" s="18"/>
    </row>
    <row r="836" ht="15.75" customHeight="1">
      <c r="F836" s="17"/>
      <c r="J836" s="18"/>
      <c r="K836" s="18"/>
      <c r="M836" s="18"/>
    </row>
    <row r="837" ht="15.75" customHeight="1">
      <c r="F837" s="17"/>
      <c r="J837" s="18"/>
      <c r="K837" s="18"/>
      <c r="M837" s="18"/>
    </row>
    <row r="838" ht="15.75" customHeight="1">
      <c r="F838" s="17"/>
      <c r="J838" s="18"/>
      <c r="K838" s="18"/>
      <c r="M838" s="18"/>
    </row>
    <row r="839" ht="15.75" customHeight="1">
      <c r="F839" s="17"/>
      <c r="J839" s="18"/>
      <c r="K839" s="18"/>
      <c r="M839" s="18"/>
    </row>
    <row r="840" ht="15.75" customHeight="1">
      <c r="F840" s="17"/>
      <c r="J840" s="18"/>
      <c r="K840" s="18"/>
      <c r="M840" s="18"/>
    </row>
    <row r="841" ht="15.75" customHeight="1">
      <c r="F841" s="17"/>
      <c r="J841" s="18"/>
      <c r="K841" s="18"/>
      <c r="M841" s="18"/>
    </row>
    <row r="842" ht="15.75" customHeight="1">
      <c r="F842" s="17"/>
      <c r="J842" s="18"/>
      <c r="K842" s="18"/>
      <c r="M842" s="18"/>
    </row>
    <row r="843" ht="15.75" customHeight="1">
      <c r="F843" s="17"/>
      <c r="J843" s="18"/>
      <c r="K843" s="18"/>
      <c r="M843" s="18"/>
    </row>
    <row r="844" ht="15.75" customHeight="1">
      <c r="F844" s="17"/>
      <c r="J844" s="18"/>
      <c r="K844" s="18"/>
      <c r="M844" s="18"/>
    </row>
    <row r="845" ht="15.75" customHeight="1">
      <c r="F845" s="17"/>
      <c r="J845" s="18"/>
      <c r="K845" s="18"/>
      <c r="M845" s="18"/>
    </row>
    <row r="846" ht="15.75" customHeight="1">
      <c r="F846" s="17"/>
      <c r="J846" s="18"/>
      <c r="K846" s="18"/>
      <c r="M846" s="18"/>
    </row>
    <row r="847" ht="15.75" customHeight="1">
      <c r="F847" s="17"/>
      <c r="J847" s="18"/>
      <c r="K847" s="18"/>
      <c r="M847" s="18"/>
    </row>
    <row r="848" ht="15.75" customHeight="1">
      <c r="F848" s="17"/>
      <c r="J848" s="18"/>
      <c r="K848" s="18"/>
      <c r="M848" s="18"/>
    </row>
    <row r="849" ht="15.75" customHeight="1">
      <c r="F849" s="17"/>
      <c r="J849" s="18"/>
      <c r="K849" s="18"/>
      <c r="M849" s="18"/>
    </row>
    <row r="850" ht="15.75" customHeight="1">
      <c r="F850" s="17"/>
      <c r="J850" s="18"/>
      <c r="K850" s="18"/>
      <c r="M850" s="18"/>
    </row>
    <row r="851" ht="15.75" customHeight="1">
      <c r="F851" s="17"/>
      <c r="J851" s="18"/>
      <c r="K851" s="18"/>
      <c r="M851" s="18"/>
    </row>
    <row r="852" ht="15.75" customHeight="1">
      <c r="F852" s="17"/>
      <c r="J852" s="18"/>
      <c r="K852" s="18"/>
      <c r="M852" s="18"/>
    </row>
    <row r="853" ht="15.75" customHeight="1">
      <c r="F853" s="17"/>
      <c r="J853" s="18"/>
      <c r="K853" s="18"/>
      <c r="M853" s="18"/>
    </row>
    <row r="854" ht="15.75" customHeight="1">
      <c r="F854" s="17"/>
      <c r="J854" s="18"/>
      <c r="K854" s="18"/>
      <c r="M854" s="18"/>
    </row>
    <row r="855" ht="15.75" customHeight="1">
      <c r="F855" s="17"/>
      <c r="J855" s="18"/>
      <c r="K855" s="18"/>
      <c r="M855" s="18"/>
    </row>
    <row r="856" ht="15.75" customHeight="1">
      <c r="F856" s="17"/>
      <c r="J856" s="18"/>
      <c r="K856" s="18"/>
      <c r="M856" s="18"/>
    </row>
    <row r="857" ht="15.75" customHeight="1">
      <c r="F857" s="17"/>
      <c r="J857" s="18"/>
      <c r="K857" s="18"/>
      <c r="M857" s="18"/>
    </row>
    <row r="858" ht="15.75" customHeight="1">
      <c r="F858" s="17"/>
      <c r="J858" s="18"/>
      <c r="K858" s="18"/>
      <c r="M858" s="18"/>
    </row>
    <row r="859" ht="15.75" customHeight="1">
      <c r="F859" s="17"/>
      <c r="J859" s="18"/>
      <c r="K859" s="18"/>
      <c r="M859" s="18"/>
    </row>
    <row r="860" ht="15.75" customHeight="1">
      <c r="F860" s="17"/>
      <c r="J860" s="18"/>
      <c r="K860" s="18"/>
      <c r="M860" s="18"/>
    </row>
    <row r="861" ht="15.75" customHeight="1">
      <c r="F861" s="17"/>
      <c r="J861" s="18"/>
      <c r="K861" s="18"/>
      <c r="M861" s="18"/>
    </row>
    <row r="862" ht="15.75" customHeight="1">
      <c r="F862" s="17"/>
      <c r="J862" s="18"/>
      <c r="K862" s="18"/>
      <c r="M862" s="18"/>
    </row>
    <row r="863" ht="15.75" customHeight="1">
      <c r="F863" s="17"/>
      <c r="J863" s="18"/>
      <c r="K863" s="18"/>
      <c r="M863" s="18"/>
    </row>
    <row r="864" ht="15.75" customHeight="1">
      <c r="F864" s="17"/>
      <c r="J864" s="18"/>
      <c r="K864" s="18"/>
      <c r="M864" s="18"/>
    </row>
    <row r="865" ht="15.75" customHeight="1">
      <c r="F865" s="17"/>
      <c r="J865" s="18"/>
      <c r="K865" s="18"/>
      <c r="M865" s="18"/>
    </row>
    <row r="866" ht="15.75" customHeight="1">
      <c r="F866" s="17"/>
      <c r="J866" s="18"/>
      <c r="K866" s="18"/>
      <c r="M866" s="18"/>
    </row>
    <row r="867" ht="15.75" customHeight="1">
      <c r="F867" s="17"/>
      <c r="J867" s="18"/>
      <c r="K867" s="18"/>
      <c r="M867" s="18"/>
    </row>
    <row r="868" ht="15.75" customHeight="1">
      <c r="F868" s="17"/>
      <c r="J868" s="18"/>
      <c r="K868" s="18"/>
      <c r="M868" s="18"/>
    </row>
    <row r="869" ht="15.75" customHeight="1">
      <c r="F869" s="17"/>
      <c r="J869" s="18"/>
      <c r="K869" s="18"/>
      <c r="M869" s="18"/>
    </row>
    <row r="870" ht="15.75" customHeight="1">
      <c r="F870" s="17"/>
      <c r="J870" s="18"/>
      <c r="K870" s="18"/>
      <c r="M870" s="18"/>
    </row>
    <row r="871" ht="15.75" customHeight="1">
      <c r="F871" s="17"/>
      <c r="J871" s="18"/>
      <c r="K871" s="18"/>
      <c r="M871" s="18"/>
    </row>
    <row r="872" ht="15.75" customHeight="1">
      <c r="F872" s="17"/>
      <c r="J872" s="18"/>
      <c r="K872" s="18"/>
      <c r="M872" s="18"/>
    </row>
    <row r="873" ht="15.75" customHeight="1">
      <c r="F873" s="17"/>
      <c r="J873" s="18"/>
      <c r="K873" s="18"/>
      <c r="M873" s="18"/>
    </row>
    <row r="874" ht="15.75" customHeight="1">
      <c r="F874" s="17"/>
      <c r="J874" s="18"/>
      <c r="K874" s="18"/>
      <c r="M874" s="18"/>
    </row>
    <row r="875" ht="15.75" customHeight="1">
      <c r="F875" s="17"/>
      <c r="J875" s="18"/>
      <c r="K875" s="18"/>
      <c r="M875" s="18"/>
    </row>
    <row r="876" ht="15.75" customHeight="1">
      <c r="F876" s="17"/>
      <c r="J876" s="18"/>
      <c r="K876" s="18"/>
      <c r="M876" s="18"/>
    </row>
    <row r="877" ht="15.75" customHeight="1">
      <c r="F877" s="17"/>
      <c r="J877" s="18"/>
      <c r="K877" s="18"/>
      <c r="M877" s="18"/>
    </row>
    <row r="878" ht="15.75" customHeight="1">
      <c r="F878" s="17"/>
      <c r="J878" s="18"/>
      <c r="K878" s="18"/>
      <c r="M878" s="18"/>
    </row>
    <row r="879" ht="15.75" customHeight="1">
      <c r="F879" s="17"/>
      <c r="J879" s="18"/>
      <c r="K879" s="18"/>
      <c r="M879" s="18"/>
    </row>
    <row r="880" ht="15.75" customHeight="1">
      <c r="F880" s="17"/>
      <c r="J880" s="18"/>
      <c r="K880" s="18"/>
      <c r="M880" s="18"/>
    </row>
    <row r="881" ht="15.75" customHeight="1">
      <c r="F881" s="17"/>
      <c r="J881" s="18"/>
      <c r="K881" s="18"/>
      <c r="M881" s="18"/>
    </row>
    <row r="882" ht="15.75" customHeight="1">
      <c r="F882" s="17"/>
      <c r="J882" s="18"/>
      <c r="K882" s="18"/>
      <c r="M882" s="18"/>
    </row>
    <row r="883" ht="15.75" customHeight="1">
      <c r="F883" s="17"/>
      <c r="J883" s="18"/>
      <c r="K883" s="18"/>
      <c r="M883" s="18"/>
    </row>
    <row r="884" ht="15.75" customHeight="1">
      <c r="F884" s="17"/>
      <c r="J884" s="18"/>
      <c r="K884" s="18"/>
      <c r="M884" s="18"/>
    </row>
    <row r="885" ht="15.75" customHeight="1">
      <c r="F885" s="17"/>
      <c r="J885" s="18"/>
      <c r="K885" s="18"/>
      <c r="M885" s="18"/>
    </row>
    <row r="886" ht="15.75" customHeight="1">
      <c r="F886" s="17"/>
      <c r="J886" s="18"/>
      <c r="K886" s="18"/>
      <c r="M886" s="18"/>
    </row>
    <row r="887" ht="15.75" customHeight="1">
      <c r="F887" s="17"/>
      <c r="J887" s="18"/>
      <c r="K887" s="18"/>
      <c r="M887" s="18"/>
    </row>
    <row r="888" ht="15.75" customHeight="1">
      <c r="F888" s="17"/>
      <c r="J888" s="18"/>
      <c r="K888" s="18"/>
      <c r="M888" s="18"/>
    </row>
    <row r="889" ht="15.75" customHeight="1">
      <c r="F889" s="17"/>
      <c r="J889" s="18"/>
      <c r="K889" s="18"/>
      <c r="M889" s="18"/>
    </row>
    <row r="890" ht="15.75" customHeight="1">
      <c r="F890" s="17"/>
      <c r="J890" s="18"/>
      <c r="K890" s="18"/>
      <c r="M890" s="18"/>
    </row>
    <row r="891" ht="15.75" customHeight="1">
      <c r="F891" s="17"/>
      <c r="J891" s="18"/>
      <c r="K891" s="18"/>
      <c r="M891" s="18"/>
    </row>
    <row r="892" ht="15.75" customHeight="1">
      <c r="F892" s="17"/>
      <c r="J892" s="18"/>
      <c r="K892" s="18"/>
      <c r="M892" s="18"/>
    </row>
    <row r="893" ht="15.75" customHeight="1">
      <c r="F893" s="17"/>
      <c r="J893" s="18"/>
      <c r="K893" s="18"/>
      <c r="M893" s="18"/>
    </row>
    <row r="894" ht="15.75" customHeight="1">
      <c r="F894" s="17"/>
      <c r="J894" s="18"/>
      <c r="K894" s="18"/>
      <c r="M894" s="18"/>
    </row>
    <row r="895" ht="15.75" customHeight="1">
      <c r="F895" s="17"/>
      <c r="J895" s="18"/>
      <c r="K895" s="18"/>
      <c r="M895" s="18"/>
    </row>
    <row r="896" ht="15.75" customHeight="1">
      <c r="F896" s="17"/>
      <c r="J896" s="18"/>
      <c r="K896" s="18"/>
      <c r="M896" s="18"/>
    </row>
    <row r="897" ht="15.75" customHeight="1">
      <c r="F897" s="17"/>
      <c r="J897" s="18"/>
      <c r="K897" s="18"/>
      <c r="M897" s="18"/>
    </row>
    <row r="898" ht="15.75" customHeight="1">
      <c r="F898" s="17"/>
      <c r="J898" s="18"/>
      <c r="K898" s="18"/>
      <c r="M898" s="18"/>
    </row>
    <row r="899" ht="15.75" customHeight="1">
      <c r="F899" s="17"/>
      <c r="J899" s="18"/>
      <c r="K899" s="18"/>
      <c r="M899" s="18"/>
    </row>
    <row r="900" ht="15.75" customHeight="1">
      <c r="F900" s="17"/>
      <c r="J900" s="18"/>
      <c r="K900" s="18"/>
      <c r="M900" s="18"/>
    </row>
    <row r="901" ht="15.75" customHeight="1">
      <c r="F901" s="17"/>
      <c r="J901" s="18"/>
      <c r="K901" s="18"/>
      <c r="M901" s="18"/>
    </row>
    <row r="902" ht="15.75" customHeight="1">
      <c r="F902" s="17"/>
      <c r="J902" s="18"/>
      <c r="K902" s="18"/>
      <c r="M902" s="18"/>
    </row>
    <row r="903" ht="15.75" customHeight="1">
      <c r="F903" s="17"/>
      <c r="J903" s="18"/>
      <c r="K903" s="18"/>
      <c r="M903" s="18"/>
    </row>
    <row r="904" ht="15.75" customHeight="1">
      <c r="F904" s="17"/>
      <c r="J904" s="18"/>
      <c r="K904" s="18"/>
      <c r="M904" s="18"/>
    </row>
    <row r="905" ht="15.75" customHeight="1">
      <c r="F905" s="17"/>
      <c r="J905" s="18"/>
      <c r="K905" s="18"/>
      <c r="M905" s="18"/>
    </row>
    <row r="906" ht="15.75" customHeight="1">
      <c r="F906" s="17"/>
      <c r="J906" s="18"/>
      <c r="K906" s="18"/>
      <c r="M906" s="18"/>
    </row>
    <row r="907" ht="15.75" customHeight="1">
      <c r="F907" s="17"/>
      <c r="J907" s="18"/>
      <c r="K907" s="18"/>
      <c r="M907" s="18"/>
    </row>
    <row r="908" ht="15.75" customHeight="1">
      <c r="F908" s="17"/>
      <c r="J908" s="18"/>
      <c r="K908" s="18"/>
      <c r="M908" s="18"/>
    </row>
    <row r="909" ht="15.75" customHeight="1">
      <c r="F909" s="17"/>
      <c r="J909" s="18"/>
      <c r="K909" s="18"/>
      <c r="M909" s="18"/>
    </row>
    <row r="910" ht="15.75" customHeight="1">
      <c r="F910" s="17"/>
      <c r="J910" s="18"/>
      <c r="K910" s="18"/>
      <c r="M910" s="18"/>
    </row>
    <row r="911" ht="15.75" customHeight="1">
      <c r="F911" s="17"/>
      <c r="J911" s="18"/>
      <c r="K911" s="18"/>
      <c r="M911" s="18"/>
    </row>
    <row r="912" ht="15.75" customHeight="1">
      <c r="F912" s="17"/>
      <c r="J912" s="18"/>
      <c r="K912" s="18"/>
      <c r="M912" s="18"/>
    </row>
    <row r="913" ht="15.75" customHeight="1">
      <c r="F913" s="17"/>
      <c r="J913" s="18"/>
      <c r="K913" s="18"/>
      <c r="M913" s="18"/>
    </row>
    <row r="914" ht="15.75" customHeight="1">
      <c r="F914" s="17"/>
      <c r="J914" s="18"/>
      <c r="K914" s="18"/>
      <c r="M914" s="18"/>
    </row>
    <row r="915" ht="15.75" customHeight="1">
      <c r="F915" s="17"/>
      <c r="J915" s="18"/>
      <c r="K915" s="18"/>
      <c r="M915" s="18"/>
    </row>
    <row r="916" ht="15.75" customHeight="1">
      <c r="F916" s="17"/>
      <c r="J916" s="18"/>
      <c r="K916" s="18"/>
      <c r="M916" s="18"/>
    </row>
    <row r="917" ht="15.75" customHeight="1">
      <c r="F917" s="17"/>
      <c r="J917" s="18"/>
      <c r="K917" s="18"/>
      <c r="M917" s="18"/>
    </row>
    <row r="918" ht="15.75" customHeight="1">
      <c r="F918" s="17"/>
      <c r="J918" s="18"/>
      <c r="K918" s="18"/>
      <c r="M918" s="18"/>
    </row>
    <row r="919" ht="15.75" customHeight="1">
      <c r="F919" s="17"/>
      <c r="J919" s="18"/>
      <c r="K919" s="18"/>
      <c r="M919" s="18"/>
    </row>
    <row r="920" ht="15.75" customHeight="1">
      <c r="F920" s="17"/>
      <c r="J920" s="18"/>
      <c r="K920" s="18"/>
      <c r="M920" s="18"/>
    </row>
    <row r="921" ht="15.75" customHeight="1">
      <c r="F921" s="17"/>
      <c r="J921" s="18"/>
      <c r="K921" s="18"/>
      <c r="M921" s="18"/>
    </row>
    <row r="922" ht="15.75" customHeight="1">
      <c r="F922" s="17"/>
      <c r="J922" s="18"/>
      <c r="K922" s="18"/>
      <c r="M922" s="18"/>
    </row>
    <row r="923" ht="15.75" customHeight="1">
      <c r="F923" s="17"/>
      <c r="J923" s="18"/>
      <c r="K923" s="18"/>
      <c r="M923" s="18"/>
    </row>
    <row r="924" ht="15.75" customHeight="1">
      <c r="F924" s="17"/>
      <c r="J924" s="18"/>
      <c r="K924" s="18"/>
      <c r="M924" s="18"/>
    </row>
    <row r="925" ht="15.75" customHeight="1">
      <c r="F925" s="17"/>
      <c r="J925" s="18"/>
      <c r="K925" s="18"/>
      <c r="M925" s="18"/>
    </row>
    <row r="926" ht="15.75" customHeight="1">
      <c r="F926" s="17"/>
      <c r="J926" s="18"/>
      <c r="K926" s="18"/>
      <c r="M926" s="18"/>
    </row>
    <row r="927" ht="15.75" customHeight="1">
      <c r="F927" s="17"/>
      <c r="J927" s="18"/>
      <c r="K927" s="18"/>
      <c r="M927" s="18"/>
    </row>
    <row r="928" ht="15.75" customHeight="1">
      <c r="F928" s="17"/>
      <c r="J928" s="18"/>
      <c r="K928" s="18"/>
      <c r="M928" s="18"/>
    </row>
    <row r="929" ht="15.75" customHeight="1">
      <c r="F929" s="17"/>
      <c r="J929" s="18"/>
      <c r="K929" s="18"/>
      <c r="M929" s="18"/>
    </row>
    <row r="930" ht="15.75" customHeight="1">
      <c r="F930" s="17"/>
      <c r="J930" s="18"/>
      <c r="K930" s="18"/>
      <c r="M930" s="18"/>
    </row>
    <row r="931" ht="15.75" customHeight="1">
      <c r="F931" s="17"/>
      <c r="J931" s="18"/>
      <c r="K931" s="18"/>
      <c r="M931" s="18"/>
    </row>
    <row r="932" ht="15.75" customHeight="1">
      <c r="F932" s="17"/>
      <c r="J932" s="18"/>
      <c r="K932" s="18"/>
      <c r="M932" s="18"/>
    </row>
    <row r="933" ht="15.75" customHeight="1">
      <c r="F933" s="17"/>
      <c r="J933" s="18"/>
      <c r="K933" s="18"/>
      <c r="M933" s="18"/>
    </row>
    <row r="934" ht="15.75" customHeight="1">
      <c r="F934" s="17"/>
      <c r="J934" s="18"/>
      <c r="K934" s="18"/>
      <c r="M934" s="18"/>
    </row>
    <row r="935" ht="15.75" customHeight="1">
      <c r="F935" s="17"/>
      <c r="J935" s="18"/>
      <c r="K935" s="18"/>
      <c r="M935" s="18"/>
    </row>
    <row r="936" ht="15.75" customHeight="1">
      <c r="F936" s="17"/>
      <c r="J936" s="18"/>
      <c r="K936" s="18"/>
      <c r="M936" s="18"/>
    </row>
    <row r="937" ht="15.75" customHeight="1">
      <c r="F937" s="17"/>
      <c r="J937" s="18"/>
      <c r="K937" s="18"/>
      <c r="M937" s="18"/>
    </row>
    <row r="938" ht="15.75" customHeight="1">
      <c r="F938" s="17"/>
      <c r="J938" s="18"/>
      <c r="K938" s="18"/>
      <c r="M938" s="18"/>
    </row>
    <row r="939" ht="15.75" customHeight="1">
      <c r="F939" s="17"/>
      <c r="J939" s="18"/>
      <c r="K939" s="18"/>
      <c r="M939" s="18"/>
    </row>
    <row r="940" ht="15.75" customHeight="1">
      <c r="F940" s="17"/>
      <c r="J940" s="18"/>
      <c r="K940" s="18"/>
      <c r="M940" s="18"/>
    </row>
    <row r="941" ht="15.75" customHeight="1">
      <c r="F941" s="17"/>
      <c r="J941" s="18"/>
      <c r="K941" s="18"/>
      <c r="M941" s="18"/>
    </row>
    <row r="942" ht="15.75" customHeight="1">
      <c r="F942" s="17"/>
      <c r="J942" s="18"/>
      <c r="K942" s="18"/>
      <c r="M942" s="18"/>
    </row>
    <row r="943" ht="15.75" customHeight="1">
      <c r="F943" s="17"/>
      <c r="J943" s="18"/>
      <c r="K943" s="18"/>
      <c r="M943" s="18"/>
    </row>
    <row r="944" ht="15.75" customHeight="1">
      <c r="F944" s="17"/>
      <c r="J944" s="18"/>
      <c r="K944" s="18"/>
      <c r="M944" s="18"/>
    </row>
    <row r="945" ht="15.75" customHeight="1">
      <c r="F945" s="17"/>
      <c r="J945" s="18"/>
      <c r="K945" s="18"/>
      <c r="M945" s="18"/>
    </row>
    <row r="946" ht="15.75" customHeight="1">
      <c r="F946" s="17"/>
      <c r="J946" s="18"/>
      <c r="K946" s="18"/>
      <c r="M946" s="18"/>
    </row>
    <row r="947" ht="15.75" customHeight="1">
      <c r="F947" s="17"/>
      <c r="J947" s="18"/>
      <c r="K947" s="18"/>
      <c r="M947" s="18"/>
    </row>
    <row r="948" ht="15.75" customHeight="1">
      <c r="F948" s="17"/>
      <c r="J948" s="18"/>
      <c r="K948" s="18"/>
      <c r="M948" s="18"/>
    </row>
    <row r="949" ht="15.75" customHeight="1">
      <c r="F949" s="17"/>
      <c r="J949" s="18"/>
      <c r="K949" s="18"/>
      <c r="M949" s="18"/>
    </row>
    <row r="950" ht="15.75" customHeight="1">
      <c r="F950" s="17"/>
      <c r="J950" s="18"/>
      <c r="K950" s="18"/>
      <c r="M950" s="18"/>
    </row>
    <row r="951" ht="15.75" customHeight="1">
      <c r="F951" s="17"/>
      <c r="J951" s="18"/>
      <c r="K951" s="18"/>
      <c r="M951" s="18"/>
    </row>
    <row r="952" ht="15.75" customHeight="1">
      <c r="F952" s="17"/>
      <c r="J952" s="18"/>
      <c r="K952" s="18"/>
      <c r="M952" s="18"/>
    </row>
    <row r="953" ht="15.75" customHeight="1">
      <c r="F953" s="17"/>
      <c r="J953" s="18"/>
      <c r="K953" s="18"/>
      <c r="M953" s="18"/>
    </row>
    <row r="954" ht="15.75" customHeight="1">
      <c r="F954" s="17"/>
      <c r="J954" s="18"/>
      <c r="K954" s="18"/>
      <c r="M954" s="18"/>
    </row>
    <row r="955" ht="15.75" customHeight="1">
      <c r="F955" s="17"/>
      <c r="J955" s="18"/>
      <c r="K955" s="18"/>
      <c r="M955" s="18"/>
    </row>
    <row r="956" ht="15.75" customHeight="1">
      <c r="F956" s="17"/>
      <c r="J956" s="18"/>
      <c r="K956" s="18"/>
      <c r="M956" s="18"/>
    </row>
    <row r="957" ht="15.75" customHeight="1">
      <c r="F957" s="17"/>
      <c r="J957" s="18"/>
      <c r="K957" s="18"/>
      <c r="M957" s="18"/>
    </row>
    <row r="958" ht="15.75" customHeight="1">
      <c r="F958" s="17"/>
      <c r="J958" s="18"/>
      <c r="K958" s="18"/>
      <c r="M958" s="18"/>
    </row>
    <row r="959" ht="15.75" customHeight="1">
      <c r="F959" s="17"/>
      <c r="J959" s="18"/>
      <c r="K959" s="18"/>
      <c r="M959" s="18"/>
    </row>
    <row r="960" ht="15.75" customHeight="1">
      <c r="F960" s="17"/>
      <c r="J960" s="18"/>
      <c r="K960" s="18"/>
      <c r="M960" s="18"/>
    </row>
    <row r="961" ht="15.75" customHeight="1">
      <c r="F961" s="17"/>
      <c r="J961" s="18"/>
      <c r="K961" s="18"/>
      <c r="M961" s="18"/>
    </row>
    <row r="962" ht="15.75" customHeight="1">
      <c r="F962" s="17"/>
      <c r="J962" s="18"/>
      <c r="K962" s="18"/>
      <c r="M962" s="18"/>
    </row>
    <row r="963" ht="15.75" customHeight="1">
      <c r="F963" s="17"/>
      <c r="J963" s="18"/>
      <c r="K963" s="18"/>
      <c r="M963" s="18"/>
    </row>
    <row r="964" ht="15.75" customHeight="1">
      <c r="F964" s="17"/>
      <c r="J964" s="18"/>
      <c r="K964" s="18"/>
      <c r="M964" s="18"/>
    </row>
    <row r="965" ht="15.75" customHeight="1">
      <c r="F965" s="17"/>
      <c r="J965" s="18"/>
      <c r="K965" s="18"/>
      <c r="M965" s="18"/>
    </row>
    <row r="966" ht="15.75" customHeight="1">
      <c r="F966" s="17"/>
      <c r="J966" s="18"/>
      <c r="K966" s="18"/>
      <c r="M966" s="18"/>
    </row>
    <row r="967" ht="15.75" customHeight="1">
      <c r="F967" s="17"/>
      <c r="J967" s="18"/>
      <c r="K967" s="18"/>
      <c r="M967" s="18"/>
    </row>
    <row r="968" ht="15.75" customHeight="1">
      <c r="F968" s="17"/>
      <c r="J968" s="18"/>
      <c r="K968" s="18"/>
      <c r="M968" s="18"/>
    </row>
    <row r="969" ht="15.75" customHeight="1">
      <c r="F969" s="17"/>
      <c r="J969" s="18"/>
      <c r="K969" s="18"/>
      <c r="M969" s="18"/>
    </row>
    <row r="970" ht="15.75" customHeight="1">
      <c r="F970" s="17"/>
      <c r="J970" s="18"/>
      <c r="K970" s="18"/>
      <c r="M970" s="18"/>
    </row>
    <row r="971" ht="15.75" customHeight="1">
      <c r="F971" s="17"/>
      <c r="J971" s="18"/>
      <c r="K971" s="18"/>
      <c r="M971" s="18"/>
    </row>
    <row r="972" ht="15.75" customHeight="1">
      <c r="F972" s="17"/>
      <c r="J972" s="18"/>
      <c r="K972" s="18"/>
      <c r="M972" s="18"/>
    </row>
    <row r="973" ht="15.75" customHeight="1">
      <c r="F973" s="17"/>
      <c r="J973" s="18"/>
      <c r="K973" s="18"/>
      <c r="M973" s="18"/>
    </row>
    <row r="974" ht="15.75" customHeight="1">
      <c r="F974" s="17"/>
      <c r="J974" s="18"/>
      <c r="K974" s="18"/>
      <c r="M974" s="18"/>
    </row>
    <row r="975" ht="15.75" customHeight="1">
      <c r="F975" s="17"/>
      <c r="J975" s="18"/>
      <c r="K975" s="18"/>
      <c r="M975" s="18"/>
    </row>
    <row r="976" ht="15.75" customHeight="1">
      <c r="F976" s="17"/>
      <c r="J976" s="18"/>
      <c r="K976" s="18"/>
      <c r="M976" s="18"/>
    </row>
    <row r="977" ht="15.75" customHeight="1">
      <c r="F977" s="17"/>
      <c r="J977" s="18"/>
      <c r="K977" s="18"/>
      <c r="M977" s="18"/>
    </row>
    <row r="978" ht="15.75" customHeight="1">
      <c r="F978" s="17"/>
      <c r="J978" s="18"/>
      <c r="K978" s="18"/>
      <c r="M978" s="18"/>
    </row>
    <row r="979" ht="15.75" customHeight="1">
      <c r="F979" s="17"/>
      <c r="J979" s="18"/>
      <c r="K979" s="18"/>
      <c r="M979" s="18"/>
    </row>
    <row r="980" ht="15.75" customHeight="1">
      <c r="F980" s="17"/>
      <c r="J980" s="18"/>
      <c r="K980" s="18"/>
      <c r="M980" s="18"/>
    </row>
    <row r="981" ht="15.75" customHeight="1">
      <c r="F981" s="17"/>
      <c r="J981" s="18"/>
      <c r="K981" s="18"/>
      <c r="M981" s="18"/>
    </row>
    <row r="982" ht="15.75" customHeight="1">
      <c r="F982" s="17"/>
      <c r="J982" s="18"/>
      <c r="K982" s="18"/>
      <c r="M982" s="18"/>
    </row>
    <row r="983" ht="15.75" customHeight="1">
      <c r="F983" s="17"/>
      <c r="J983" s="18"/>
      <c r="K983" s="18"/>
      <c r="M983" s="18"/>
    </row>
    <row r="984" ht="15.75" customHeight="1">
      <c r="F984" s="17"/>
      <c r="J984" s="18"/>
      <c r="K984" s="18"/>
      <c r="M984" s="18"/>
    </row>
    <row r="985" ht="15.75" customHeight="1">
      <c r="F985" s="17"/>
      <c r="J985" s="18"/>
      <c r="K985" s="18"/>
      <c r="M985" s="18"/>
    </row>
    <row r="986" ht="15.75" customHeight="1">
      <c r="F986" s="17"/>
      <c r="J986" s="18"/>
      <c r="K986" s="18"/>
      <c r="M986" s="18"/>
    </row>
    <row r="987" ht="15.75" customHeight="1">
      <c r="F987" s="17"/>
      <c r="J987" s="18"/>
      <c r="K987" s="18"/>
      <c r="M987" s="18"/>
    </row>
    <row r="988" ht="15.75" customHeight="1">
      <c r="F988" s="17"/>
      <c r="J988" s="18"/>
      <c r="K988" s="18"/>
      <c r="M988" s="18"/>
    </row>
    <row r="989" ht="15.75" customHeight="1">
      <c r="F989" s="17"/>
      <c r="J989" s="18"/>
      <c r="K989" s="18"/>
      <c r="M989" s="18"/>
    </row>
    <row r="990" ht="15.75" customHeight="1">
      <c r="F990" s="17"/>
      <c r="J990" s="18"/>
      <c r="K990" s="18"/>
      <c r="M990" s="18"/>
    </row>
    <row r="991" ht="15.75" customHeight="1">
      <c r="F991" s="17"/>
      <c r="J991" s="18"/>
      <c r="K991" s="18"/>
      <c r="M991" s="18"/>
    </row>
    <row r="992" ht="15.75" customHeight="1">
      <c r="F992" s="17"/>
      <c r="J992" s="18"/>
      <c r="K992" s="18"/>
      <c r="M992" s="18"/>
    </row>
    <row r="993" ht="15.75" customHeight="1">
      <c r="F993" s="17"/>
      <c r="J993" s="18"/>
      <c r="K993" s="18"/>
      <c r="M993" s="18"/>
    </row>
    <row r="994" ht="15.75" customHeight="1">
      <c r="F994" s="17"/>
      <c r="J994" s="18"/>
      <c r="K994" s="18"/>
      <c r="M994" s="18"/>
    </row>
    <row r="995" ht="15.75" customHeight="1">
      <c r="F995" s="17"/>
      <c r="J995" s="18"/>
      <c r="K995" s="18"/>
      <c r="M995" s="18"/>
    </row>
    <row r="996" ht="15.75" customHeight="1">
      <c r="F996" s="17"/>
      <c r="J996" s="18"/>
      <c r="K996" s="18"/>
      <c r="M996" s="18"/>
    </row>
    <row r="997" ht="15.75" customHeight="1">
      <c r="F997" s="17"/>
      <c r="J997" s="18"/>
      <c r="K997" s="18"/>
      <c r="M997" s="18"/>
    </row>
    <row r="998" ht="15.75" customHeight="1">
      <c r="F998" s="17"/>
      <c r="J998" s="18"/>
      <c r="K998" s="18"/>
      <c r="M998" s="18"/>
    </row>
    <row r="999" ht="15.75" customHeight="1">
      <c r="F999" s="17"/>
      <c r="J999" s="18"/>
      <c r="K999" s="18"/>
      <c r="M999" s="18"/>
    </row>
    <row r="1000" ht="15.75" customHeight="1">
      <c r="F1000" s="17"/>
      <c r="J1000" s="18"/>
      <c r="K1000" s="18"/>
      <c r="M1000" s="18"/>
    </row>
  </sheetData>
  <autoFilter ref="$A$1:$AD$1000">
    <filterColumn colId="16">
      <filters blank="1">
        <filter val="Eligible"/>
      </filters>
    </filterColumn>
    <sortState ref="A1:AD1000">
      <sortCondition ref="A1:A1000"/>
      <sortCondition descending="1" ref="F1:F1000"/>
      <sortCondition ref="N1:N1000"/>
      <sortCondition descending="1" ref="J1:J1000"/>
    </sortState>
  </autoFilter>
  <conditionalFormatting sqref="J1:J10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:N1000">
    <cfRule type="colorScale" priority="2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38"/>
    <col customWidth="1" min="2" max="2" width="21.13"/>
    <col customWidth="1" min="3" max="6" width="12.63"/>
  </cols>
  <sheetData>
    <row r="1" ht="15.75" customHeight="1">
      <c r="A1" s="1" t="s">
        <v>967</v>
      </c>
      <c r="B1" s="1" t="s">
        <v>968</v>
      </c>
    </row>
    <row r="2" ht="15.75" customHeight="1">
      <c r="A2" s="8" t="s">
        <v>44</v>
      </c>
      <c r="B2" s="8" t="s">
        <v>25</v>
      </c>
    </row>
    <row r="3" ht="15.75" customHeight="1">
      <c r="A3" s="8" t="s">
        <v>102</v>
      </c>
      <c r="B3" s="8" t="s">
        <v>25</v>
      </c>
    </row>
    <row r="4" ht="15.75" customHeight="1">
      <c r="A4" s="8" t="s">
        <v>57</v>
      </c>
      <c r="B4" s="8" t="s">
        <v>25</v>
      </c>
    </row>
    <row r="5" ht="15.75" customHeight="1">
      <c r="A5" s="8" t="s">
        <v>25</v>
      </c>
      <c r="B5" s="8" t="s">
        <v>25</v>
      </c>
    </row>
    <row r="6" ht="15.75" customHeight="1">
      <c r="A6" s="8" t="s">
        <v>28</v>
      </c>
      <c r="B6" s="8" t="s">
        <v>35</v>
      </c>
    </row>
    <row r="7" ht="15.75" customHeight="1">
      <c r="A7" s="8" t="s">
        <v>20</v>
      </c>
      <c r="B7" s="8" t="s">
        <v>35</v>
      </c>
    </row>
    <row r="8" ht="15.75" customHeight="1">
      <c r="A8" s="8" t="s">
        <v>50</v>
      </c>
      <c r="B8" s="8" t="s">
        <v>35</v>
      </c>
    </row>
    <row r="9" ht="15.75" customHeight="1">
      <c r="A9" s="8" t="s">
        <v>35</v>
      </c>
      <c r="B9" s="8" t="s">
        <v>35</v>
      </c>
    </row>
    <row r="10" ht="15.75" customHeight="1">
      <c r="A10" s="8" t="s">
        <v>41</v>
      </c>
      <c r="B10" s="8" t="s">
        <v>161</v>
      </c>
    </row>
    <row r="11" ht="15.75" customHeight="1">
      <c r="A11" s="8" t="s">
        <v>72</v>
      </c>
      <c r="B11" s="8" t="s">
        <v>161</v>
      </c>
    </row>
    <row r="12" ht="15.75" customHeight="1">
      <c r="A12" s="8" t="s">
        <v>38</v>
      </c>
      <c r="B12" s="8" t="s">
        <v>161</v>
      </c>
    </row>
    <row r="13" ht="15.75" customHeight="1">
      <c r="A13" s="8" t="s">
        <v>161</v>
      </c>
      <c r="B13" s="8" t="s">
        <v>161</v>
      </c>
    </row>
    <row r="14" ht="15.75" customHeight="1">
      <c r="A14" s="8" t="s">
        <v>47</v>
      </c>
      <c r="B14" s="8" t="s">
        <v>108</v>
      </c>
    </row>
    <row r="15" ht="15.75" customHeight="1">
      <c r="A15" s="8" t="s">
        <v>83</v>
      </c>
      <c r="B15" s="8" t="s">
        <v>108</v>
      </c>
    </row>
    <row r="16" ht="15.75" customHeight="1">
      <c r="A16" s="8" t="s">
        <v>105</v>
      </c>
      <c r="B16" s="8" t="s">
        <v>108</v>
      </c>
    </row>
    <row r="17" ht="15.75" customHeight="1">
      <c r="A17" s="8" t="s">
        <v>108</v>
      </c>
      <c r="B17" s="8" t="s">
        <v>108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5.0"/>
    <col customWidth="1" min="3" max="4" width="19.0"/>
    <col customWidth="1" min="5" max="6" width="12.63"/>
  </cols>
  <sheetData>
    <row r="1" ht="15.75" customHeight="1">
      <c r="A1" s="19" t="s">
        <v>969</v>
      </c>
      <c r="B1" s="19" t="s">
        <v>970</v>
      </c>
      <c r="C1" s="19" t="s">
        <v>971</v>
      </c>
      <c r="D1" s="19" t="s">
        <v>972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5.75" customHeight="1">
      <c r="A2" s="8" t="s">
        <v>21</v>
      </c>
      <c r="B2" s="8">
        <v>60.0</v>
      </c>
      <c r="C2" s="8">
        <v>65.0</v>
      </c>
      <c r="D2" s="8">
        <v>75.0</v>
      </c>
    </row>
    <row r="3" ht="15.75" customHeight="1">
      <c r="A3" s="8" t="s">
        <v>272</v>
      </c>
      <c r="B3" s="8">
        <v>45.0</v>
      </c>
      <c r="C3" s="8">
        <v>70.0</v>
      </c>
      <c r="D3" s="8">
        <v>80.0</v>
      </c>
    </row>
    <row r="4" ht="15.75" customHeight="1">
      <c r="A4" s="8" t="s">
        <v>563</v>
      </c>
      <c r="B4" s="8">
        <v>80.0</v>
      </c>
      <c r="C4" s="8">
        <v>60.0</v>
      </c>
      <c r="D4" s="8">
        <v>70.0</v>
      </c>
    </row>
    <row r="5" ht="15.75" customHeight="1">
      <c r="A5" s="8" t="s">
        <v>794</v>
      </c>
      <c r="B5" s="8">
        <v>30.0</v>
      </c>
      <c r="C5" s="8">
        <v>75.0</v>
      </c>
      <c r="D5" s="8">
        <v>85.0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973</v>
      </c>
      <c r="B1" s="1" t="s">
        <v>974</v>
      </c>
    </row>
    <row r="2" ht="15.75" customHeight="1">
      <c r="A2" s="8" t="s">
        <v>975</v>
      </c>
      <c r="B2" s="8">
        <v>0.15</v>
      </c>
    </row>
    <row r="3" ht="15.75" customHeight="1">
      <c r="A3" s="8" t="s">
        <v>976</v>
      </c>
      <c r="B3" s="8">
        <v>0.35</v>
      </c>
    </row>
    <row r="4" ht="15.75" customHeight="1">
      <c r="A4" s="8" t="s">
        <v>977</v>
      </c>
      <c r="B4" s="8">
        <v>0.5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>
      <c r="I1" s="13" t="s">
        <v>978</v>
      </c>
      <c r="J1" s="13" t="s">
        <v>17</v>
      </c>
      <c r="K1" s="13"/>
      <c r="L1" s="13"/>
    </row>
    <row r="2">
      <c r="I2" s="13" t="s">
        <v>13</v>
      </c>
      <c r="J2" s="13" t="s">
        <v>162</v>
      </c>
      <c r="K2" s="13" t="s">
        <v>22</v>
      </c>
      <c r="L2" s="13" t="s">
        <v>979</v>
      </c>
    </row>
    <row r="3">
      <c r="I3" s="13" t="s">
        <v>21</v>
      </c>
      <c r="J3" s="13">
        <v>52.0</v>
      </c>
      <c r="K3" s="13">
        <v>60.0</v>
      </c>
      <c r="L3" s="13">
        <v>112.0</v>
      </c>
    </row>
    <row r="4">
      <c r="I4" s="13" t="s">
        <v>272</v>
      </c>
      <c r="J4" s="13">
        <v>27.0</v>
      </c>
      <c r="K4" s="13">
        <v>45.0</v>
      </c>
      <c r="L4" s="13">
        <v>72.0</v>
      </c>
    </row>
    <row r="5">
      <c r="I5" s="13" t="s">
        <v>563</v>
      </c>
      <c r="J5" s="13">
        <v>41.0</v>
      </c>
      <c r="K5" s="13">
        <v>80.0</v>
      </c>
      <c r="L5" s="13">
        <v>121.0</v>
      </c>
    </row>
    <row r="6">
      <c r="I6" s="13" t="s">
        <v>794</v>
      </c>
      <c r="J6" s="13">
        <v>17.0</v>
      </c>
      <c r="K6" s="13">
        <v>30.0</v>
      </c>
      <c r="L6" s="13">
        <v>47.0</v>
      </c>
    </row>
    <row r="7">
      <c r="I7" s="13" t="s">
        <v>979</v>
      </c>
      <c r="J7" s="13">
        <v>137.0</v>
      </c>
      <c r="K7" s="13">
        <v>215.0</v>
      </c>
      <c r="L7" s="13">
        <v>352.0</v>
      </c>
    </row>
    <row r="44">
      <c r="I44" s="13" t="s">
        <v>978</v>
      </c>
      <c r="J44" s="13" t="s">
        <v>17</v>
      </c>
      <c r="K44" s="13"/>
      <c r="R44" s="13" t="s">
        <v>978</v>
      </c>
      <c r="S44" s="13" t="s">
        <v>16</v>
      </c>
      <c r="T44" s="13"/>
      <c r="U44" s="13"/>
    </row>
    <row r="45">
      <c r="I45" s="13" t="s">
        <v>3</v>
      </c>
      <c r="J45" s="13" t="s">
        <v>22</v>
      </c>
      <c r="K45" s="13" t="s">
        <v>979</v>
      </c>
      <c r="R45" s="13" t="s">
        <v>3</v>
      </c>
      <c r="S45" s="13" t="s">
        <v>980</v>
      </c>
      <c r="T45" s="13" t="s">
        <v>981</v>
      </c>
      <c r="U45" s="13" t="s">
        <v>979</v>
      </c>
    </row>
    <row r="46">
      <c r="I46" s="21" t="s">
        <v>108</v>
      </c>
      <c r="J46" s="13">
        <v>52.0</v>
      </c>
      <c r="K46" s="13">
        <v>52.0</v>
      </c>
      <c r="R46" s="21" t="s">
        <v>108</v>
      </c>
      <c r="S46" s="13">
        <v>80.0</v>
      </c>
      <c r="T46" s="13">
        <v>36.0</v>
      </c>
      <c r="U46" s="13">
        <v>116.0</v>
      </c>
    </row>
    <row r="47">
      <c r="I47" s="21" t="s">
        <v>25</v>
      </c>
      <c r="J47" s="13">
        <v>53.0</v>
      </c>
      <c r="K47" s="13">
        <v>53.0</v>
      </c>
      <c r="R47" s="21" t="s">
        <v>25</v>
      </c>
      <c r="S47" s="13">
        <v>90.0</v>
      </c>
      <c r="T47" s="13">
        <v>35.0</v>
      </c>
      <c r="U47" s="13">
        <v>125.0</v>
      </c>
    </row>
    <row r="48">
      <c r="I48" s="21" t="s">
        <v>35</v>
      </c>
      <c r="J48" s="13">
        <v>53.0</v>
      </c>
      <c r="K48" s="13">
        <v>53.0</v>
      </c>
      <c r="R48" s="21" t="s">
        <v>35</v>
      </c>
      <c r="S48" s="13">
        <v>86.0</v>
      </c>
      <c r="T48" s="13">
        <v>43.0</v>
      </c>
      <c r="U48" s="13">
        <v>129.0</v>
      </c>
    </row>
    <row r="49">
      <c r="I49" s="21" t="s">
        <v>161</v>
      </c>
      <c r="J49" s="13">
        <v>57.0</v>
      </c>
      <c r="K49" s="13">
        <v>57.0</v>
      </c>
      <c r="R49" s="21" t="s">
        <v>161</v>
      </c>
      <c r="S49" s="13">
        <v>96.0</v>
      </c>
      <c r="T49" s="13">
        <v>44.0</v>
      </c>
      <c r="U49" s="13">
        <v>140.0</v>
      </c>
    </row>
    <row r="50">
      <c r="I50" s="13" t="s">
        <v>979</v>
      </c>
      <c r="J50" s="13">
        <v>215.0</v>
      </c>
      <c r="K50" s="13">
        <v>215.0</v>
      </c>
      <c r="R50" s="13" t="s">
        <v>979</v>
      </c>
      <c r="S50" s="13">
        <v>352.0</v>
      </c>
      <c r="T50" s="13">
        <v>158.0</v>
      </c>
      <c r="U50" s="13">
        <v>510.0</v>
      </c>
    </row>
    <row r="52" ht="16.5" customHeight="1"/>
  </sheetData>
  <drawing r:id="rId2"/>
</worksheet>
</file>